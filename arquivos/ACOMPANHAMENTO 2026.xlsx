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JANEIRO" sheetId="2" r:id="rId5"/>
    <sheet state="visible" name="FEVEREIRO" sheetId="3" r:id="rId6"/>
    <sheet state="visible" name="MARÇO" sheetId="4" r:id="rId7"/>
    <sheet state="visible" name="ABRIL" sheetId="5" r:id="rId8"/>
  </sheets>
  <definedNames/>
  <calcPr/>
</workbook>
</file>

<file path=xl/sharedStrings.xml><?xml version="1.0" encoding="utf-8"?>
<sst xmlns="http://schemas.openxmlformats.org/spreadsheetml/2006/main" count="637" uniqueCount="214">
  <si>
    <t>Acompanhamento</t>
  </si>
  <si>
    <t>NOVOS</t>
  </si>
  <si>
    <t>FASE</t>
  </si>
  <si>
    <t>STATUS</t>
  </si>
  <si>
    <t>VIG</t>
  </si>
  <si>
    <t>RENOVAÇÕES INTERNAS</t>
  </si>
  <si>
    <t>CENÁRIO 1</t>
  </si>
  <si>
    <t>FECHADOS</t>
  </si>
  <si>
    <t xml:space="preserve">NOVO: </t>
  </si>
  <si>
    <t>RENOV:</t>
  </si>
  <si>
    <t>Ñ RENOV:</t>
  </si>
  <si>
    <t>Total</t>
  </si>
  <si>
    <t>`</t>
  </si>
  <si>
    <t>ENDOSSOS</t>
  </si>
  <si>
    <t>CENÁRIO 2</t>
  </si>
  <si>
    <t>Copie e cole para adicionar mais destinos.</t>
  </si>
  <si>
    <t>TATIANA CARVALHO RAMOS CAVALCANTI</t>
  </si>
  <si>
    <t>CONCLUÍDA</t>
  </si>
  <si>
    <t>RENOVADO</t>
  </si>
  <si>
    <t xml:space="preserve">PAULO GUIMARAES ALMEIDA
</t>
  </si>
  <si>
    <t>CONCLUÍDO</t>
  </si>
  <si>
    <t>CLETO PEREIRA JUNIOR</t>
  </si>
  <si>
    <t>JOAB LEITE DE LIMA</t>
  </si>
  <si>
    <t>LIVIA REGINA ROQUE DA SILVA</t>
  </si>
  <si>
    <t xml:space="preserve">JOILTON PEREIRA RAMALHO VIEIRA	</t>
  </si>
  <si>
    <t xml:space="preserve">ANA LUIZA DIAS LEITE DE ANDRADE </t>
  </si>
  <si>
    <t>JOAO PAULO PEREIRA DOS SANTOS</t>
  </si>
  <si>
    <t>GILVAM FRANCISCO DA SILVA</t>
  </si>
  <si>
    <t>EUCLECIO SANTOS DE MORAIS</t>
  </si>
  <si>
    <t>REVOV: 24</t>
  </si>
  <si>
    <t>PAULO DE OLIVEIRA MARTINS</t>
  </si>
  <si>
    <t>ELTON COSTA DE MELO</t>
  </si>
  <si>
    <t>ABISMARQUE DE LIMA CUNHA</t>
  </si>
  <si>
    <t>MONICA RAFAELLA GONCALVES DE ANDRADE</t>
  </si>
  <si>
    <t>Ñ RENOV: 1</t>
  </si>
  <si>
    <t>DIMINIANO ALVES DE MELO</t>
  </si>
  <si>
    <t>JULIO ELISIO COSTA CANDEIAS</t>
  </si>
  <si>
    <t xml:space="preserve">JOSE ALVES CAVALCANTE </t>
  </si>
  <si>
    <t>STHEFANY LIRA DE AGUIAR</t>
  </si>
  <si>
    <t>NOVO: 9</t>
  </si>
  <si>
    <t xml:space="preserve">JOELSON VENCESLAU CAVALCANTE </t>
  </si>
  <si>
    <t>JOSE COUTINHO DE OLIVEIRA NETO</t>
  </si>
  <si>
    <t>MAYARA GABRIELA RODRIGUES DE VASCONCELOS</t>
  </si>
  <si>
    <t>FABIO DE SOUZA SILVA</t>
  </si>
  <si>
    <t>MARCIA RODRIGUES DA SILVA</t>
  </si>
  <si>
    <t>JOSE GILBERTO RAMALHO FERNANDES</t>
  </si>
  <si>
    <t>IGOR RODRIGUES COSTA</t>
  </si>
  <si>
    <t>NÃO RENOVADO</t>
  </si>
  <si>
    <t>ELIELSON PEREIRA DA SILVA</t>
  </si>
  <si>
    <t>GERALDO FERNANDES DE LIMA</t>
  </si>
  <si>
    <t>JOAO BATISTA COSTA</t>
  </si>
  <si>
    <t xml:space="preserve">REGINA MARCIA SILVEIRA LOPES </t>
  </si>
  <si>
    <t>ARISTONE GONCALVES PAIVA</t>
  </si>
  <si>
    <t>AILANE CRISTINA DA SILVA FORMIGA</t>
  </si>
  <si>
    <t>ANDERSON TENORIO PONTES DA SILVA</t>
  </si>
  <si>
    <t xml:space="preserve">ESTEVAM CIPRIANO ARAUJO DE LIMA </t>
  </si>
  <si>
    <t>GABRYELLE KELLY SOARES DA SILVA MONTEIRO</t>
  </si>
  <si>
    <t>ALEXANDRE COSTA DE MELO</t>
  </si>
  <si>
    <t>JUNIVAL PEREIRA PASSARINHO</t>
  </si>
  <si>
    <t>JOAO PAULO PEREIRA</t>
  </si>
  <si>
    <t>CLAUDIO DYBAS DA NATIVIDADE</t>
  </si>
  <si>
    <t>CAROLINA STEFANI MARTINS RODRIGUES</t>
  </si>
  <si>
    <t>CAROLINA CABRAL ESCOBAR LACERDA</t>
  </si>
  <si>
    <t>GICELIA PEREIRA DE MENEZES PONTES</t>
  </si>
  <si>
    <t>MARIA DE FATIMA CAMAROTTI</t>
  </si>
  <si>
    <t>JOSE OLINTO LIMA SOARES</t>
  </si>
  <si>
    <t>FRANCISCO MIGUEL RIBEIRO DA SILVA</t>
  </si>
  <si>
    <t xml:space="preserve">URBIETA COM ENGENHARIA LOCACAO REPRESENT </t>
  </si>
  <si>
    <t>SUELINALDO FERREIRA DA SILVA JUNIOR</t>
  </si>
  <si>
    <t>REVOV: 34</t>
  </si>
  <si>
    <t xml:space="preserve">ANDRIESIA OLIVEIRA DA SILVA </t>
  </si>
  <si>
    <t>MARIA LUIZA BUSTORFF FEODRIPPE MARTINS</t>
  </si>
  <si>
    <t>JAQUELINE BEZERRA DA SILVA</t>
  </si>
  <si>
    <t xml:space="preserve">CAMILLA CRISTIAN FEITOSA LELIS        </t>
  </si>
  <si>
    <t>Ñ RENOV: 2</t>
  </si>
  <si>
    <t xml:space="preserve">JOSELIO MACIEL DA SILVA </t>
  </si>
  <si>
    <t>SILVANA BIARARI CASTELAN</t>
  </si>
  <si>
    <t xml:space="preserve">ANTONIO MARCOS DA SILVA </t>
  </si>
  <si>
    <t xml:space="preserve">SUELINALDO FERREIRA DA SILVA JUNIOR     </t>
  </si>
  <si>
    <t>AMANDA PEREIRA DE MENEZES</t>
  </si>
  <si>
    <t xml:space="preserve">MARIA DO SOCORRO DA SILVA MARCELINO </t>
  </si>
  <si>
    <t>AGRECIO DA SILVA MOREIRA</t>
  </si>
  <si>
    <t xml:space="preserve">PEDRO RAWAN MEIRELES LIMEIRA </t>
  </si>
  <si>
    <t xml:space="preserve">FRANCISCO CANDIDO FERNANDES        </t>
  </si>
  <si>
    <t>THAIS BANDEIRA RODRIGUES</t>
  </si>
  <si>
    <t>EUZIRIO EDUARDO DA SILVA</t>
  </si>
  <si>
    <t>ADJAIANE TOMAZ DA SILVA</t>
  </si>
  <si>
    <t xml:space="preserve">BRUNO DE LIMA SANTOS        </t>
  </si>
  <si>
    <t xml:space="preserve">CONDOMINIO BARONEZZI RESIDENCE        </t>
  </si>
  <si>
    <t>CARLOS JORDAN DA SILVA NASCIMENTO</t>
  </si>
  <si>
    <t>GUTEMBERG PEREIRA DE MENEZES</t>
  </si>
  <si>
    <t>EMILIO PINTO DE FIGUEIREDO JUNIOR</t>
  </si>
  <si>
    <t>DANIELE VIEIRA DE MELO</t>
  </si>
  <si>
    <t>RAISA GABRIELA SILVA FIGUEIREDO LEITE</t>
  </si>
  <si>
    <t>CAMILA FARIAS NOBREGA</t>
  </si>
  <si>
    <t>LEYNAD LAIS RODRIGUES DA SILVA</t>
  </si>
  <si>
    <t xml:space="preserve">EMERSON FERNANDO DE FIGUEIREDO LIMA       </t>
  </si>
  <si>
    <t>CARLOS FABIO DE BRITO MARINHO</t>
  </si>
  <si>
    <t xml:space="preserve">SEBASTIAO CANDIDO DOS SANTOS     </t>
  </si>
  <si>
    <t>DANIEL GERMANO SOUZA DA SILVA</t>
  </si>
  <si>
    <t>STEFANNY KARULAYNE FIGUEIREDO DE LUCENA</t>
  </si>
  <si>
    <t xml:space="preserve">FARNACES DA SILVA PEREIRA </t>
  </si>
  <si>
    <t xml:space="preserve">GILVAM FRANCISCO DA SILVA </t>
  </si>
  <si>
    <t>VICTOR PALMEIRA DANTAS</t>
  </si>
  <si>
    <t xml:space="preserve">JOSIVANDO DA SILVA AVELINO      </t>
  </si>
  <si>
    <t>ENOQUE MARINHO DE OLIVEIRA FILHO</t>
  </si>
  <si>
    <t>JOAO VICTOR SOARES DE CASTRO</t>
  </si>
  <si>
    <t>MOACI LEITE JUNIOR</t>
  </si>
  <si>
    <t>INGRID PALMEIRA DANTAS</t>
  </si>
  <si>
    <t>ANDERSON CARNEIRO DO NASCIMENTO</t>
  </si>
  <si>
    <t xml:space="preserve">GABRYELLE KELLY SOARES DA SILVA MONTEIRO </t>
  </si>
  <si>
    <t>JOSE MARIA DA SILVA</t>
  </si>
  <si>
    <t>JACQUES CLEMENTINO BRITO LEITE</t>
  </si>
  <si>
    <t>MARCELLO DE SOUZA FERREIRA</t>
  </si>
  <si>
    <t>SERGIO RODRIGO ALVES MACIEL</t>
  </si>
  <si>
    <t>-</t>
  </si>
  <si>
    <t xml:space="preserve">JOSE HIGINO DE AMORIM
</t>
  </si>
  <si>
    <t>ANDRE LUIZ MACEDO CORREIA LIMA</t>
  </si>
  <si>
    <t xml:space="preserve">NATHALIA HOLANDA VILHENA 	</t>
  </si>
  <si>
    <t xml:space="preserve">MARISANTA FARIAS NOBREGA </t>
  </si>
  <si>
    <t>DIMAS ALBERTO CAMPOS ALOISIO</t>
  </si>
  <si>
    <t>ANNA MARLY BARBOSA DE PAIVA OLIVEIRA</t>
  </si>
  <si>
    <t>ALYSON DAVID BEZERRA DINIZ</t>
  </si>
  <si>
    <t>RENATO DE FREITAS FREIRE DA SILVA</t>
  </si>
  <si>
    <t>JESSICA KARLEN PESSOA GUIMARAES TEIXEIRA</t>
  </si>
  <si>
    <t>EM ANÁLISE</t>
  </si>
  <si>
    <t>APÓLICE, ARQUIVOS, AGENDA</t>
  </si>
  <si>
    <t>JOSINALDO MARIA DA SILVA FILHO</t>
  </si>
  <si>
    <t>TAMARA LEVINO DA COSTA SANTANA</t>
  </si>
  <si>
    <t>MARIA DAS GRACAS RAMALHO DE FIGUEIREDO</t>
  </si>
  <si>
    <t xml:space="preserve">EVERSON GODOI CASAGRANDE
</t>
  </si>
  <si>
    <t>CONSTRUTORA CRISTO REI LTDA ME</t>
  </si>
  <si>
    <t>FRANCINEIDE MACIEL</t>
  </si>
  <si>
    <t>DULCIELLE MORAES DOS S ESTEVAM</t>
  </si>
  <si>
    <t xml:space="preserve">JOSE GOMES FERREIRA	</t>
  </si>
  <si>
    <t>DIONISIO SOARES MARQUES</t>
  </si>
  <si>
    <t>JOSE ALVES CAVALCANTE</t>
  </si>
  <si>
    <t>ANTONIO FRANCISCO DE SOUZA</t>
  </si>
  <si>
    <t>ASSINATURA</t>
  </si>
  <si>
    <t xml:space="preserve">MARIA DAIANA DE SOUSA GUEDES </t>
  </si>
  <si>
    <t>MANOEL RICARTE DA SILVA RODRIGUES</t>
  </si>
  <si>
    <t>GILVANA PATRICIA CORREIA PORTO</t>
  </si>
  <si>
    <t>PAGAMENTOS, ARQUIVOS, AGENDA</t>
  </si>
  <si>
    <t xml:space="preserve">MARIA LUSIA SCOTINI    </t>
  </si>
  <si>
    <t>JOSE CLAUDINO CAVALCANTE NETO</t>
  </si>
  <si>
    <t xml:space="preserve">JEAN CLAUDIO LIMA DA ROCHA </t>
  </si>
  <si>
    <t>WANDSON GONCALVES DE MENEZES</t>
  </si>
  <si>
    <t>MARIA HELENA RODRIGUES FORMIGA</t>
  </si>
  <si>
    <t>EM COTAÇÃO</t>
  </si>
  <si>
    <t>DOUGLAS ZEPPELINI FILHO</t>
  </si>
  <si>
    <t>ERISSON PEREIRA DE LIMA</t>
  </si>
  <si>
    <t>NATHAN PAIVA BRITO</t>
  </si>
  <si>
    <t>NATAN DE SOUZA BORBA DA SILVA</t>
  </si>
  <si>
    <t xml:space="preserve">DAVID DA SILVA PEREIRA </t>
  </si>
  <si>
    <t>ANTONIO MARCOS DA SILVA</t>
  </si>
  <si>
    <t xml:space="preserve">GILVANA PATRICIA CORREIA PORTO
</t>
  </si>
  <si>
    <t>GUSTAVO HENRIQUE NASCIMENTO SILVA</t>
  </si>
  <si>
    <t>MARIA CELIA DA SILVA</t>
  </si>
  <si>
    <t>JUAN - BIOLOGO</t>
  </si>
  <si>
    <t>ADNILSON ARNALDO CASAGRANDE JUNIOR</t>
  </si>
  <si>
    <t>FABIANA FIRMINO NOGUEIRA - LUANA</t>
  </si>
  <si>
    <t>ELIZABETE JOVINO CAVALCANTE</t>
  </si>
  <si>
    <t xml:space="preserve">KEMILLY SAYONARA DE SOUZA SOUTO
</t>
  </si>
  <si>
    <t>SEVERINO DANTAS DA SILVA</t>
  </si>
  <si>
    <t>WALBER PINHEIRO DE SOUSA LIMA</t>
  </si>
  <si>
    <t>ERICA FERNANDES DAS NEVES LIMA</t>
  </si>
  <si>
    <t>WAGNER RODRIGUES ALVES RAMOS</t>
  </si>
  <si>
    <t xml:space="preserve">HALAMO GIULIAN REIS DE ANDRADE </t>
  </si>
  <si>
    <t>EDGLEY LUCENA CLAUDINO</t>
  </si>
  <si>
    <t xml:space="preserve">JOAB LEITE DE LIMA </t>
  </si>
  <si>
    <t>JOSE CARLOS FERREIRA RODRIGUES</t>
  </si>
  <si>
    <t>JOSE HIGINO DE AMORIM</t>
  </si>
  <si>
    <t>VALDEMIR MOREIRA PALITOT</t>
  </si>
  <si>
    <t>HAMILTON BORGES DOS SANTOS</t>
  </si>
  <si>
    <t>ASSINATURA, APÓLICE, ARQUIVOS, AGENDA</t>
  </si>
  <si>
    <t xml:space="preserve">ROBERTO CARLOS DOS SANTOS </t>
  </si>
  <si>
    <t>CONDOMINIO RESIDENCIAL TOM JOBIM</t>
  </si>
  <si>
    <t>ASSINATURA, PAGAMENTOS, APÓLICE, ARQUIVOS, AGENDA</t>
  </si>
  <si>
    <t>MOISES LIMA DA SILVA</t>
  </si>
  <si>
    <t>RENATA PEREIRA DA SILVA SANTOS</t>
  </si>
  <si>
    <t>LUCAS SEVERIANO DE LIMA MEDEIROS</t>
  </si>
  <si>
    <t xml:space="preserve">BALANTECH ASSISTENCIA TECNICA
</t>
  </si>
  <si>
    <r>
      <rPr>
        <rFont val="Hind"/>
        <sz val="11.0"/>
      </rPr>
      <t xml:space="preserve">BALANTECH COMERCIO E SERVICOS LTDA - </t>
    </r>
    <r>
      <rPr>
        <rFont val="Hind"/>
        <b/>
        <sz val="11.0"/>
      </rPr>
      <t xml:space="preserve">VIDA  </t>
    </r>
    <r>
      <rPr>
        <rFont val="Hind"/>
        <sz val="11.0"/>
      </rPr>
      <t xml:space="preserve">     </t>
    </r>
  </si>
  <si>
    <t xml:space="preserve">DANIELLY MARIA RODRIGUES DE
SOUSA
</t>
  </si>
  <si>
    <t>LARYSSA RENATA MUNIZ ROCHA</t>
  </si>
  <si>
    <t>BRUNA CHAVES DO NASCIMENTO MATOS</t>
  </si>
  <si>
    <t>JOELSON VENCESLAU CAVALCANTE</t>
  </si>
  <si>
    <t>ASSINATURA, APÓLICE, PAGAMENTOS, ARQUIVOS, AGENDA</t>
  </si>
  <si>
    <t>KEVIN CYSNEIROS PACHA SILVA</t>
  </si>
  <si>
    <t>MARCIO DE ASSIS SILVA JUNIOR</t>
  </si>
  <si>
    <t>DEYVISON LEANDRO DOS SANTOS FERREIRA</t>
  </si>
  <si>
    <t>MARIA LUIZA EMILIO LEAL</t>
  </si>
  <si>
    <t>FRANCISCO DE ASSIS FIGUEIREDO LACERDA</t>
  </si>
  <si>
    <t>SERVICO NOTARIAL E REGISTRAL DE ARARUNA</t>
  </si>
  <si>
    <t xml:space="preserve">MARIA HELENA RODRIGUES FORMIGA </t>
  </si>
  <si>
    <t>IVONALDO GALDENCIO FELIX</t>
  </si>
  <si>
    <t>VITORIA DE ANDRADE LACERDA REGAL</t>
  </si>
  <si>
    <t xml:space="preserve">DANIELLY MARIA RODRIGUES DE SOUSA </t>
  </si>
  <si>
    <t xml:space="preserve">ROBERTO CARLOS DOS SANTOS
</t>
  </si>
  <si>
    <t xml:space="preserve">IVANILSON LIMA DA SILVA </t>
  </si>
  <si>
    <t>GARDENIA AZEVEDO SILVA</t>
  </si>
  <si>
    <t>NADNARA JOVELINA PEREIRA DE OLIVEIRA</t>
  </si>
  <si>
    <t>RAISSA SILVA DE OLIVEIRA</t>
  </si>
  <si>
    <t xml:space="preserve">PAULO HENRIQUE BARBOSA DA SILVA </t>
  </si>
  <si>
    <t xml:space="preserve">NEURIVAN DA SILVA PEDROSA </t>
  </si>
  <si>
    <t>ANDRESSA ALIANE ALVES DE ALBUQUERQUE</t>
  </si>
  <si>
    <t xml:space="preserve">JABSON EVANGELISTA DA SILVA	</t>
  </si>
  <si>
    <t>CAMILA PINHATA</t>
  </si>
  <si>
    <t>JEFFERSON BARBOSA GOMES</t>
  </si>
  <si>
    <t>MARIA DEBORA FERNANDES GOUVEIA BRAS</t>
  </si>
  <si>
    <t>RESIDENCIAL CAINA</t>
  </si>
  <si>
    <t xml:space="preserve">GILVANI BARBOSA DA SILVA        </t>
  </si>
  <si>
    <t>RAIMUNDO JOSE SOARES ALVES</t>
  </si>
  <si>
    <t xml:space="preserve">EDINEYALISON WALLAS HENRIQUES
FERREIRA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</si>
</sst>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</font>
    <font>
      <name val="Raleway"/>
    </font>
    <font>
      <sz val="8.0"/>
      <color rgb="FFFFFFFF"/>
      <name val="Raleway"/>
    </font>
    <font>
      <b/>
      <name val="Raleway"/>
    </font>
    <font>
      <sz val="42.0"/>
      <color rgb="FF576475"/>
      <name val="Raleway"/>
    </font>
    <font>
      <b/>
      <sz val="16.0"/>
      <color rgb="FFFFFFFF"/>
      <name val="Raleway"/>
    </font>
    <font>
      <name val="Hind"/>
    </font>
    <font>
      <sz val="10.0"/>
      <color rgb="FF444444"/>
      <name val="Hind"/>
    </font>
    <font>
      <sz val="10.0"/>
      <color rgb="FFFFFFFF"/>
      <name val="Hind"/>
    </font>
    <font>
      <sz val="10.0"/>
      <name val="Hind"/>
    </font>
    <font>
      <b/>
      <sz val="26.0"/>
      <color rgb="FF444444"/>
      <name val="Hind"/>
    </font>
    <font>
      <sz val="11.0"/>
      <name val="Hind"/>
    </font>
    <font>
      <sz val="8.0"/>
      <name val="Hind"/>
    </font>
    <font>
      <sz val="30.0"/>
      <color rgb="FF444444"/>
      <name val="Hind"/>
    </font>
    <font>
      <sz val="36.0"/>
      <color rgb="FF444444"/>
      <name val="Hind"/>
    </font>
    <font/>
    <font>
      <b/>
      <sz val="11.0"/>
    </font>
    <font>
      <sz val="11.0"/>
    </font>
    <font>
      <b/>
      <sz val="30.0"/>
      <color rgb="FF444444"/>
      <name val="Hind"/>
    </font>
    <font>
      <sz val="11.0"/>
      <color rgb="FFFFFFFF"/>
      <name val="Hind"/>
    </font>
    <font>
      <sz val="8.0"/>
      <color rgb="FFFFFFFF"/>
      <name val="Hind"/>
    </font>
    <font>
      <b/>
      <sz val="11.0"/>
      <color rgb="FFFFFFFF"/>
    </font>
    <font>
      <color rgb="FFFFFFFF"/>
      <name val="Hind"/>
    </font>
    <font>
      <color rgb="FF576475"/>
      <name val="Hind"/>
    </font>
    <font>
      <b/>
      <sz val="36.0"/>
      <color rgb="FF444444"/>
      <name val="Hind"/>
    </font>
    <font>
      <b/>
      <name val="Hind"/>
    </font>
    <font>
      <b/>
      <sz val="8.0"/>
      <name val="Hind"/>
    </font>
    <font>
      <sz val="9.0"/>
      <name val="Hind"/>
    </font>
    <font>
      <b/>
      <sz val="9.0"/>
      <name val="Hind"/>
    </font>
  </fonts>
  <fills count="12">
    <fill>
      <patternFill patternType="none"/>
    </fill>
    <fill>
      <patternFill patternType="lightGray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B7E1CD"/>
        <bgColor rgb="FFB7E1CD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</fills>
  <borders count="5">
    <border/>
    <border>
      <top style="dotted">
        <color rgb="FFB7B7B7"/>
      </top>
    </border>
    <border>
      <bottom style="thick">
        <color rgb="FF000000"/>
      </bottom>
    </border>
    <border>
      <top style="dotted">
        <color rgb="FFB7B7B7"/>
      </top>
      <bottom style="thick">
        <color rgb="FF000000"/>
      </bottom>
    </border>
    <border>
      <bottom style="dotted">
        <color rgb="FFCCCCCC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1" numFmtId="0" xfId="0" applyAlignment="1" applyFill="1" applyFont="1">
      <alignment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3" numFmtId="0" xfId="0" applyAlignment="1" applyFont="1">
      <alignment shrinkToFit="0" vertical="center" wrapText="1"/>
    </xf>
    <xf borderId="0" fillId="3" fontId="4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left" shrinkToFit="0" vertical="center" wrapText="1"/>
    </xf>
    <xf borderId="0" fillId="3" fontId="6" numFmtId="0" xfId="0" applyAlignment="1" applyFont="1">
      <alignment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3" fontId="9" numFmtId="0" xfId="0" applyAlignment="1" applyFont="1">
      <alignment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7" fontId="8" numFmtId="0" xfId="0" applyAlignment="1" applyFill="1" applyFont="1">
      <alignment horizontal="center" readingOrder="0" shrinkToFit="0" vertical="center" wrapText="1"/>
    </xf>
    <xf borderId="0" fillId="3" fontId="10" numFmtId="0" xfId="0" applyAlignment="1" applyFon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shrinkToFit="0" vertical="center" wrapText="1"/>
    </xf>
    <xf borderId="0" fillId="3" fontId="7" numFmtId="0" xfId="0" applyAlignment="1" applyFont="1">
      <alignment horizontal="left" readingOrder="0" shrinkToFit="0" vertical="bottom" wrapText="1"/>
    </xf>
    <xf borderId="0" fillId="8" fontId="13" numFmtId="0" xfId="0" applyAlignment="1" applyFill="1" applyFont="1">
      <alignment horizontal="left" readingOrder="0" shrinkToFit="0" vertical="top" wrapText="1"/>
    </xf>
    <xf borderId="0" fillId="3" fontId="14" numFmtId="0" xfId="0" applyAlignment="1" applyFont="1">
      <alignment horizontal="left" shrinkToFit="0" vertical="top" wrapText="1"/>
    </xf>
    <xf borderId="2" fillId="3" fontId="11" numFmtId="0" xfId="0" applyAlignment="1" applyBorder="1" applyFont="1">
      <alignment horizontal="left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3" fillId="3" fontId="12" numFmtId="0" xfId="0" applyAlignment="1" applyBorder="1" applyFont="1">
      <alignment horizontal="center" readingOrder="0" shrinkToFit="0" vertical="center" wrapText="1"/>
    </xf>
    <xf borderId="2" fillId="0" fontId="15" numFmtId="0" xfId="0" applyBorder="1" applyFont="1"/>
    <xf borderId="0" fillId="3" fontId="15" numFmtId="0" xfId="0" applyAlignment="1" applyFont="1">
      <alignment shrinkToFit="0" wrapText="1"/>
    </xf>
    <xf borderId="0" fillId="3" fontId="16" numFmtId="0" xfId="0" applyAlignment="1" applyFont="1">
      <alignment horizontal="center" shrinkToFit="0" vertical="center" wrapText="1"/>
    </xf>
    <xf borderId="0" fillId="3" fontId="17" numFmtId="0" xfId="0" applyAlignment="1" applyFont="1">
      <alignment shrinkToFit="0" wrapText="1"/>
    </xf>
    <xf borderId="0" fillId="3" fontId="11" numFmtId="0" xfId="0" applyAlignment="1" applyFont="1">
      <alignment horizontal="left" shrinkToFit="0" vertical="center" wrapText="1"/>
    </xf>
    <xf borderId="0" fillId="3" fontId="6" numFmtId="0" xfId="0" applyAlignment="1" applyFont="1">
      <alignment readingOrder="0" shrinkToFit="0" vertical="center" wrapText="1"/>
    </xf>
    <xf borderId="4" fillId="3" fontId="6" numFmtId="0" xfId="0" applyAlignment="1" applyBorder="1" applyFont="1">
      <alignment shrinkToFit="0" vertical="center" wrapText="1"/>
    </xf>
    <xf borderId="4" fillId="3" fontId="15" numFmtId="0" xfId="0" applyAlignment="1" applyBorder="1" applyFont="1">
      <alignment shrinkToFit="0" wrapText="1"/>
    </xf>
    <xf borderId="4" fillId="3" fontId="11" numFmtId="0" xfId="0" applyAlignment="1" applyBorder="1" applyFont="1">
      <alignment horizontal="left" shrinkToFit="0" vertical="center" wrapText="1"/>
    </xf>
    <xf borderId="0" fillId="9" fontId="8" numFmtId="0" xfId="0" applyAlignment="1" applyFill="1" applyFont="1">
      <alignment horizontal="left" readingOrder="0" shrinkToFit="0" vertical="center" wrapText="1"/>
    </xf>
    <xf borderId="0" fillId="10" fontId="8" numFmtId="0" xfId="0" applyAlignment="1" applyFill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3" fontId="18" numFmtId="0" xfId="0" applyAlignment="1" applyFont="1">
      <alignment horizontal="left" readingOrder="0" shrinkToFit="0" vertical="top" wrapText="1"/>
    </xf>
    <xf borderId="0" fillId="3" fontId="19" numFmtId="0" xfId="0" applyAlignment="1" applyFont="1">
      <alignment horizontal="left" readingOrder="0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3" fontId="21" numFmtId="0" xfId="0" applyAlignment="1" applyFont="1">
      <alignment horizontal="center" shrinkToFit="0" vertical="center" wrapText="1"/>
    </xf>
    <xf borderId="0" fillId="3" fontId="22" numFmtId="0" xfId="0" applyAlignment="1" applyFont="1">
      <alignment shrinkToFit="0" vertical="center" wrapText="1"/>
    </xf>
    <xf borderId="0" fillId="3" fontId="23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left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left" readingOrder="0" shrinkToFit="0" vertical="bottom" wrapText="1"/>
    </xf>
    <xf borderId="0" fillId="11" fontId="11" numFmtId="0" xfId="0" applyAlignment="1" applyFill="1" applyFont="1">
      <alignment horizontal="left" readingOrder="0" shrinkToFit="0" vertical="center" wrapText="1"/>
    </xf>
    <xf borderId="0" fillId="3" fontId="11" numFmtId="0" xfId="0" applyAlignment="1" applyFont="1">
      <alignment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11" fontId="12" numFmtId="0" xfId="0" applyAlignment="1" applyFont="1">
      <alignment horizontal="center" readingOrder="0" shrinkToFit="0" vertical="center" wrapText="1"/>
    </xf>
    <xf borderId="1" fillId="11" fontId="12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readingOrder="0" shrinkToFit="0" vertical="bottom" wrapText="1"/>
    </xf>
    <xf borderId="0" fillId="3" fontId="24" numFmtId="0" xfId="0" applyAlignment="1" applyFont="1">
      <alignment horizontal="left" shrinkToFit="0" vertical="top" wrapText="1"/>
    </xf>
    <xf borderId="0" fillId="3" fontId="11" numFmtId="0" xfId="0" applyAlignment="1" applyFont="1">
      <alignment readingOrder="0" shrinkToFit="0" wrapText="1"/>
    </xf>
    <xf borderId="0" fillId="3" fontId="11" numFmtId="0" xfId="0" applyAlignment="1" applyFont="1">
      <alignment shrinkToFit="0" wrapText="1"/>
    </xf>
    <xf borderId="0" fillId="3" fontId="16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left" readingOrder="0" shrinkToFit="0" vertical="top" wrapText="1"/>
    </xf>
    <xf borderId="0" fillId="3" fontId="25" numFmtId="0" xfId="0" applyAlignment="1" applyFont="1">
      <alignment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shrinkToFit="0" vertical="bottom" wrapText="1"/>
    </xf>
    <xf borderId="0" fillId="3" fontId="11" numFmtId="0" xfId="0" applyAlignment="1" applyFont="1">
      <alignment readingOrder="0" shrinkToFit="0" vertical="center" wrapText="1"/>
    </xf>
    <xf borderId="1" fillId="3" fontId="26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readingOrder="0" shrinkToFit="0" vertical="center" wrapText="1"/>
    </xf>
    <xf borderId="0" fillId="3" fontId="27" numFmtId="0" xfId="0" applyAlignment="1" applyFont="1">
      <alignment horizontal="left" readingOrder="0" shrinkToFit="0" vertical="center" wrapText="1"/>
    </xf>
    <xf borderId="0" fillId="3" fontId="28" numFmtId="0" xfId="0" applyAlignment="1" applyFont="1">
      <alignment horizontal="left" readingOrder="0" shrinkToFit="0" vertical="center" wrapText="1"/>
    </xf>
    <xf borderId="0" fillId="3" fontId="26" numFmtId="0" xfId="0" applyAlignment="1" applyFont="1">
      <alignment horizontal="center" readingOrder="0" shrinkToFit="0" vertical="center" wrapText="1"/>
    </xf>
    <xf borderId="2" fillId="3" fontId="2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6.38"/>
    <col customWidth="1" min="3" max="3" width="5.25"/>
    <col customWidth="1" min="4" max="4" width="28.63"/>
    <col customWidth="1" min="5" max="5" width="16.13"/>
    <col customWidth="1" min="6" max="6" width="14.5"/>
    <col customWidth="1" min="7" max="7" width="2.63"/>
    <col customWidth="1" min="8" max="8" width="6.13"/>
    <col customWidth="1" min="9" max="9" width="19.38"/>
    <col customWidth="1" min="10" max="10" width="19.75"/>
    <col customWidth="1" min="11" max="11" width="12.2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/>
      <c r="B4" s="5" t="s">
        <v>0</v>
      </c>
      <c r="I4" s="6"/>
      <c r="J4" s="6"/>
      <c r="K4" s="6"/>
    </row>
    <row r="5" ht="22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22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2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2.5" customHeight="1">
      <c r="A8" s="7"/>
      <c r="B8" s="8"/>
      <c r="C8" s="9"/>
      <c r="D8" s="10" t="s">
        <v>1</v>
      </c>
      <c r="E8" s="11" t="s">
        <v>2</v>
      </c>
      <c r="F8" s="11" t="s">
        <v>3</v>
      </c>
      <c r="G8" s="12"/>
      <c r="H8" s="13" t="s">
        <v>4</v>
      </c>
      <c r="I8" s="13" t="s">
        <v>5</v>
      </c>
      <c r="J8" s="14" t="s">
        <v>2</v>
      </c>
      <c r="K8" s="14" t="s">
        <v>3</v>
      </c>
    </row>
    <row r="9" ht="29.25" customHeight="1">
      <c r="A9" s="7"/>
      <c r="B9" s="15" t="s">
        <v>6</v>
      </c>
      <c r="C9" s="16"/>
      <c r="D9" s="16"/>
      <c r="E9" s="17"/>
      <c r="F9" s="18"/>
      <c r="G9" s="19"/>
      <c r="H9" s="16"/>
      <c r="J9" s="17"/>
      <c r="K9" s="18"/>
    </row>
    <row r="10" ht="29.25" customHeight="1">
      <c r="A10" s="7"/>
      <c r="C10" s="16"/>
      <c r="D10" s="16"/>
      <c r="E10" s="17"/>
      <c r="F10" s="18"/>
      <c r="G10" s="19"/>
      <c r="H10" s="16"/>
      <c r="J10" s="17"/>
      <c r="K10" s="18"/>
    </row>
    <row r="11" ht="29.25" customHeight="1">
      <c r="A11" s="7"/>
      <c r="C11" s="16"/>
      <c r="D11" s="16"/>
      <c r="E11" s="17"/>
      <c r="F11" s="18"/>
      <c r="G11" s="19"/>
      <c r="H11" s="16"/>
      <c r="J11" s="17"/>
      <c r="K11" s="18"/>
    </row>
    <row r="12" ht="29.25" customHeight="1">
      <c r="A12" s="7"/>
      <c r="B12" s="20" t="s">
        <v>7</v>
      </c>
      <c r="C12" s="16"/>
      <c r="D12" s="16"/>
      <c r="E12" s="17"/>
      <c r="F12" s="18"/>
      <c r="G12" s="19"/>
      <c r="H12" s="16"/>
      <c r="J12" s="17"/>
      <c r="K12" s="18"/>
    </row>
    <row r="13" ht="29.25" customHeight="1">
      <c r="A13" s="7"/>
      <c r="B13" s="21" t="s">
        <v>8</v>
      </c>
      <c r="C13" s="16"/>
      <c r="D13" s="16"/>
      <c r="E13" s="17"/>
      <c r="F13" s="18"/>
      <c r="G13" s="19"/>
      <c r="H13" s="16"/>
      <c r="J13" s="17"/>
      <c r="K13" s="18"/>
    </row>
    <row r="14" ht="29.25" customHeight="1">
      <c r="A14" s="7"/>
      <c r="C14" s="16"/>
      <c r="D14" s="16"/>
      <c r="E14" s="17"/>
      <c r="F14" s="18"/>
      <c r="G14" s="19"/>
      <c r="H14" s="16"/>
      <c r="J14" s="17"/>
      <c r="K14" s="18"/>
    </row>
    <row r="15" ht="29.25" customHeight="1">
      <c r="A15" s="7"/>
      <c r="B15" s="21" t="s">
        <v>9</v>
      </c>
      <c r="C15" s="16"/>
      <c r="D15" s="16"/>
      <c r="E15" s="17"/>
      <c r="F15" s="18"/>
      <c r="G15" s="19"/>
      <c r="H15" s="16"/>
      <c r="J15" s="17"/>
      <c r="K15" s="18"/>
    </row>
    <row r="16" ht="29.25" customHeight="1">
      <c r="A16" s="7"/>
      <c r="C16" s="16"/>
      <c r="D16" s="16"/>
      <c r="E16" s="17"/>
      <c r="F16" s="18"/>
      <c r="G16" s="19"/>
      <c r="H16" s="16"/>
      <c r="J16" s="17"/>
      <c r="K16" s="18"/>
    </row>
    <row r="17" ht="29.25" customHeight="1">
      <c r="A17" s="7"/>
      <c r="B17" s="21" t="s">
        <v>10</v>
      </c>
      <c r="C17" s="16"/>
      <c r="D17" s="16"/>
      <c r="E17" s="17"/>
      <c r="F17" s="18"/>
      <c r="G17" s="19"/>
      <c r="H17" s="16"/>
      <c r="J17" s="17"/>
      <c r="K17" s="18"/>
    </row>
    <row r="18" ht="29.25" customHeight="1">
      <c r="A18" s="7"/>
      <c r="C18" s="16"/>
      <c r="D18" s="16"/>
      <c r="E18" s="17"/>
      <c r="F18" s="18"/>
      <c r="G18" s="19"/>
      <c r="H18" s="16"/>
      <c r="J18" s="17"/>
      <c r="K18" s="18"/>
    </row>
    <row r="19" ht="29.25" customHeight="1">
      <c r="A19" s="7"/>
      <c r="B19" s="22"/>
      <c r="C19" s="16"/>
      <c r="D19" s="16"/>
      <c r="E19" s="17"/>
      <c r="F19" s="18"/>
      <c r="G19" s="19"/>
      <c r="H19" s="16"/>
      <c r="J19" s="17"/>
      <c r="K19" s="18"/>
    </row>
    <row r="20" ht="29.25" customHeight="1">
      <c r="A20" s="7"/>
      <c r="B20" s="22"/>
      <c r="C20" s="16"/>
      <c r="D20" s="16"/>
      <c r="E20" s="17"/>
      <c r="F20" s="18"/>
      <c r="G20" s="19"/>
      <c r="H20" s="16"/>
      <c r="J20" s="17"/>
      <c r="K20" s="18"/>
    </row>
    <row r="21" ht="29.25" customHeight="1">
      <c r="A21" s="7"/>
      <c r="B21" s="22"/>
      <c r="C21" s="16"/>
      <c r="D21" s="16"/>
      <c r="E21" s="17"/>
      <c r="F21" s="18"/>
      <c r="G21" s="19"/>
      <c r="H21" s="16"/>
      <c r="J21" s="17"/>
      <c r="K21" s="18"/>
    </row>
    <row r="22" ht="29.25" customHeight="1">
      <c r="A22" s="7"/>
      <c r="B22" s="22"/>
      <c r="C22" s="16"/>
      <c r="D22" s="16"/>
      <c r="E22" s="17"/>
      <c r="F22" s="18"/>
      <c r="G22" s="19"/>
      <c r="H22" s="16"/>
      <c r="J22" s="17"/>
      <c r="K22" s="18"/>
    </row>
    <row r="23" ht="29.25" customHeight="1">
      <c r="A23" s="7"/>
      <c r="B23" s="22"/>
      <c r="C23" s="16"/>
      <c r="D23" s="16"/>
      <c r="E23" s="17"/>
      <c r="F23" s="18"/>
      <c r="G23" s="19"/>
      <c r="H23" s="16"/>
      <c r="J23" s="17"/>
      <c r="K23" s="18"/>
    </row>
    <row r="24" ht="29.25" customHeight="1">
      <c r="A24" s="7"/>
      <c r="B24" s="22"/>
      <c r="C24" s="16"/>
      <c r="D24" s="16"/>
      <c r="E24" s="17"/>
      <c r="F24" s="18"/>
      <c r="G24" s="19"/>
      <c r="H24" s="16"/>
      <c r="J24" s="17"/>
      <c r="K24" s="18"/>
    </row>
    <row r="25" ht="29.25" customHeight="1">
      <c r="A25" s="7"/>
      <c r="B25" s="22"/>
      <c r="C25" s="23"/>
      <c r="D25" s="23"/>
      <c r="E25" s="24"/>
      <c r="F25" s="25"/>
      <c r="G25" s="19"/>
      <c r="H25" s="23"/>
      <c r="I25" s="26"/>
      <c r="J25" s="24"/>
      <c r="K25" s="25"/>
    </row>
    <row r="26" ht="45.0" customHeight="1">
      <c r="A26" s="7"/>
      <c r="B26" s="27"/>
      <c r="C26" s="16" t="s">
        <v>11</v>
      </c>
      <c r="D26" s="28">
        <f>SUM(D9:D25)</f>
        <v>0</v>
      </c>
      <c r="E26" s="7"/>
      <c r="F26" s="7"/>
      <c r="G26" s="29"/>
      <c r="H26" s="16" t="s">
        <v>11</v>
      </c>
      <c r="I26" s="28">
        <f>SUM(I9:I25)</f>
        <v>0</v>
      </c>
      <c r="J26" s="7"/>
      <c r="K26" s="7"/>
    </row>
    <row r="27" ht="22.5" customHeight="1">
      <c r="A27" s="7"/>
      <c r="B27" s="27"/>
      <c r="C27" s="30"/>
      <c r="D27" s="27"/>
      <c r="E27" s="27"/>
      <c r="F27" s="27"/>
      <c r="G27" s="27"/>
      <c r="H27" s="27"/>
      <c r="I27" s="27"/>
      <c r="J27" s="31" t="s">
        <v>12</v>
      </c>
      <c r="K27" s="31"/>
    </row>
    <row r="28" ht="7.5" customHeight="1">
      <c r="A28" s="32"/>
      <c r="B28" s="33"/>
      <c r="C28" s="34"/>
      <c r="D28" s="33"/>
      <c r="E28" s="33"/>
      <c r="F28" s="33"/>
      <c r="G28" s="33"/>
      <c r="H28" s="33"/>
      <c r="I28" s="33"/>
      <c r="J28" s="32"/>
      <c r="K28" s="7"/>
    </row>
    <row r="29" ht="33.75" customHeight="1">
      <c r="A29" s="7"/>
      <c r="B29" s="27"/>
      <c r="C29" s="30"/>
      <c r="D29" s="27"/>
      <c r="E29" s="27"/>
      <c r="F29" s="27"/>
      <c r="G29" s="27"/>
      <c r="H29" s="27"/>
      <c r="I29" s="27"/>
      <c r="J29" s="7"/>
      <c r="K29" s="7"/>
    </row>
    <row r="30" ht="22.5" customHeight="1">
      <c r="A30" s="7"/>
      <c r="B30" s="8"/>
      <c r="C30" s="35" t="s">
        <v>4</v>
      </c>
      <c r="D30" s="35" t="s">
        <v>13</v>
      </c>
      <c r="E30" s="36" t="s">
        <v>2</v>
      </c>
      <c r="F30" s="36" t="s">
        <v>3</v>
      </c>
      <c r="G30" s="37"/>
      <c r="H30" s="37"/>
      <c r="I30" s="38"/>
      <c r="J30" s="37"/>
      <c r="K30" s="37"/>
    </row>
    <row r="31" ht="29.25" customHeight="1">
      <c r="A31" s="7"/>
      <c r="B31" s="39" t="s">
        <v>14</v>
      </c>
      <c r="C31" s="16"/>
      <c r="D31" s="16"/>
      <c r="E31" s="17"/>
      <c r="F31" s="18"/>
      <c r="G31" s="17"/>
      <c r="I31" s="40"/>
      <c r="J31" s="41"/>
      <c r="K31" s="41"/>
    </row>
    <row r="32" ht="29.25" customHeight="1">
      <c r="A32" s="7"/>
      <c r="C32" s="16"/>
      <c r="D32" s="16"/>
      <c r="E32" s="17"/>
      <c r="F32" s="18"/>
      <c r="G32" s="17"/>
      <c r="I32" s="40"/>
      <c r="J32" s="41"/>
      <c r="K32" s="41"/>
    </row>
    <row r="33" ht="29.25" customHeight="1">
      <c r="A33" s="7"/>
      <c r="C33" s="16"/>
      <c r="D33" s="16"/>
      <c r="E33" s="17"/>
      <c r="F33" s="18"/>
      <c r="G33" s="17"/>
      <c r="I33" s="40"/>
      <c r="J33" s="41"/>
      <c r="K33" s="41"/>
    </row>
    <row r="34" ht="29.25" customHeight="1">
      <c r="A34" s="7"/>
      <c r="B34" s="20" t="s">
        <v>13</v>
      </c>
      <c r="C34" s="16"/>
      <c r="D34" s="16"/>
      <c r="E34" s="17"/>
      <c r="F34" s="18"/>
      <c r="G34" s="17"/>
      <c r="I34" s="40"/>
      <c r="J34" s="41"/>
      <c r="K34" s="41"/>
    </row>
    <row r="35" ht="29.25" customHeight="1">
      <c r="A35" s="7"/>
      <c r="B35" s="22">
        <f>F38-I38</f>
        <v>0</v>
      </c>
      <c r="C35" s="16"/>
      <c r="D35" s="16"/>
      <c r="E35" s="17"/>
      <c r="F35" s="18"/>
      <c r="G35" s="17"/>
      <c r="I35" s="40"/>
      <c r="J35" s="41"/>
      <c r="K35" s="41"/>
    </row>
    <row r="36" ht="29.25" customHeight="1">
      <c r="A36" s="7"/>
      <c r="C36" s="16"/>
      <c r="D36" s="16"/>
      <c r="E36" s="17"/>
      <c r="F36" s="18"/>
      <c r="G36" s="17"/>
      <c r="I36" s="40"/>
      <c r="J36" s="41"/>
      <c r="K36" s="41"/>
    </row>
    <row r="37" ht="29.25" customHeight="1">
      <c r="A37" s="7"/>
      <c r="B37" s="22"/>
      <c r="C37" s="16"/>
      <c r="D37" s="16"/>
      <c r="E37" s="17"/>
      <c r="F37" s="18"/>
      <c r="G37" s="17"/>
      <c r="I37" s="40"/>
      <c r="J37" s="41"/>
      <c r="K37" s="41"/>
    </row>
    <row r="38" ht="45.0" customHeight="1">
      <c r="A38" s="7"/>
      <c r="B38" s="27"/>
      <c r="C38" s="23"/>
      <c r="D38" s="23"/>
      <c r="E38" s="24"/>
      <c r="F38" s="25"/>
      <c r="G38" s="17"/>
      <c r="I38" s="40"/>
      <c r="J38" s="41"/>
      <c r="K38" s="41"/>
    </row>
    <row r="39" ht="22.5" customHeight="1">
      <c r="A39" s="7"/>
      <c r="B39" s="27"/>
      <c r="C39" s="16" t="s">
        <v>11</v>
      </c>
      <c r="D39" s="28">
        <f>SUM(D31:D38)</f>
        <v>0</v>
      </c>
      <c r="E39" s="7"/>
      <c r="F39" s="7"/>
      <c r="G39" s="7"/>
      <c r="H39" s="40"/>
      <c r="I39" s="42"/>
      <c r="J39" s="43"/>
      <c r="K39" s="43"/>
    </row>
    <row r="40" ht="7.5" customHeight="1">
      <c r="A40" s="32"/>
      <c r="B40" s="33"/>
      <c r="C40" s="34"/>
      <c r="D40" s="33"/>
      <c r="E40" s="33"/>
      <c r="F40" s="33"/>
      <c r="G40" s="33"/>
      <c r="H40" s="33"/>
      <c r="I40" s="33"/>
      <c r="J40" s="32"/>
      <c r="K40" s="7"/>
    </row>
    <row r="41" ht="33.75" customHeight="1">
      <c r="A41" s="7"/>
      <c r="B41" s="27"/>
      <c r="C41" s="30"/>
      <c r="D41" s="27"/>
      <c r="E41" s="27"/>
      <c r="F41" s="27"/>
      <c r="G41" s="27"/>
      <c r="H41" s="27"/>
      <c r="I41" s="27"/>
      <c r="J41" s="7"/>
      <c r="K41" s="7"/>
    </row>
    <row r="42" ht="22.5" customHeight="1">
      <c r="A42" s="44" t="s">
        <v>15</v>
      </c>
      <c r="K42" s="44"/>
    </row>
    <row r="43" ht="22.5" customHeight="1">
      <c r="A43" s="7"/>
      <c r="B43" s="27"/>
      <c r="C43" s="30"/>
      <c r="D43" s="27"/>
      <c r="E43" s="27"/>
      <c r="F43" s="27"/>
      <c r="G43" s="27"/>
      <c r="H43" s="27"/>
      <c r="I43" s="27"/>
      <c r="J43" s="7"/>
      <c r="K43" s="7"/>
    </row>
    <row r="44" ht="22.5" customHeight="1">
      <c r="A44" s="7"/>
      <c r="B44" s="27"/>
      <c r="C44" s="30"/>
      <c r="D44" s="45"/>
      <c r="E44" s="46"/>
      <c r="F44" s="46"/>
      <c r="G44" s="12"/>
      <c r="H44" s="45"/>
      <c r="I44" s="46"/>
      <c r="J44" s="7"/>
      <c r="K44" s="7"/>
    </row>
  </sheetData>
  <mergeCells count="33">
    <mergeCell ref="H13:I13"/>
    <mergeCell ref="H14:I14"/>
    <mergeCell ref="B15:B16"/>
    <mergeCell ref="B17:B18"/>
    <mergeCell ref="B31:B33"/>
    <mergeCell ref="B35:B36"/>
    <mergeCell ref="B4:H4"/>
    <mergeCell ref="B9:B11"/>
    <mergeCell ref="H9:I9"/>
    <mergeCell ref="H10:I10"/>
    <mergeCell ref="H11:I11"/>
    <mergeCell ref="B13:B14"/>
    <mergeCell ref="H16:I16"/>
    <mergeCell ref="H12:I12"/>
    <mergeCell ref="H15:I15"/>
    <mergeCell ref="H17:I17"/>
    <mergeCell ref="H18:I18"/>
    <mergeCell ref="H19:I19"/>
    <mergeCell ref="H20:I20"/>
    <mergeCell ref="H21:I21"/>
    <mergeCell ref="G34:H34"/>
    <mergeCell ref="G35:H35"/>
    <mergeCell ref="G36:H36"/>
    <mergeCell ref="G37:H37"/>
    <mergeCell ref="G38:H38"/>
    <mergeCell ref="A42:J42"/>
    <mergeCell ref="H22:I22"/>
    <mergeCell ref="H23:I23"/>
    <mergeCell ref="H24:I24"/>
    <mergeCell ref="H25:I25"/>
    <mergeCell ref="G31:H31"/>
    <mergeCell ref="G32:H32"/>
    <mergeCell ref="G33:H33"/>
  </mergeCells>
  <conditionalFormatting sqref="B1:B41 B43:B44">
    <cfRule type="expression" dxfId="0" priority="1">
      <formula>AND(($B:$B)=max($B:$B), ISNUMBER($B:$B))</formula>
    </cfRule>
  </conditionalFormatting>
  <dataValidations>
    <dataValidation type="list" allowBlank="1" showErrorMessage="1" sqref="K9:K25">
      <formula1>"VISTORIA,ASSINATURA,APÓLICE,ARQUIVOS,AGENDA,RENOVADO,NÃO RENOVADO,CONCLUÍDA,PAGAMENTOS"</formula1>
    </dataValidation>
    <dataValidation type="list" allowBlank="1" showErrorMessage="1" sqref="F31:F38">
      <formula1>"VISTORIA,ASSINATURA,APÓLICE,ARQUIVOS,AGENDA,CONCLUÍDO,PAGAMENTOS"</formula1>
    </dataValidation>
    <dataValidation type="list" allowBlank="1" showErrorMessage="1" sqref="E9:E25 J9:J25 E31:E38">
      <formula1>"EM COTAÇÃO,EM ANÁLISE,CONCLUÍDA"</formula1>
    </dataValidation>
    <dataValidation type="list" allowBlank="1" showErrorMessage="1" sqref="F9:F25">
      <formula1>"VISTORIA,ASSINATURA,APÓLICE,ARQUIVOS,AGENDA,CONCLUÍDO,PAGAMENTOS"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6.38"/>
    <col customWidth="1" min="3" max="3" width="5.25"/>
    <col customWidth="1" min="4" max="4" width="28.63"/>
    <col customWidth="1" min="5" max="5" width="16.13"/>
    <col customWidth="1" min="6" max="6" width="14.5"/>
    <col customWidth="1" min="7" max="7" width="2.63"/>
    <col customWidth="1" min="8" max="8" width="6.13"/>
    <col customWidth="1" min="9" max="9" width="19.38"/>
    <col customWidth="1" min="10" max="10" width="19.75"/>
    <col customWidth="1" min="11" max="11" width="12.2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/>
      <c r="B4" s="5" t="s">
        <v>0</v>
      </c>
      <c r="I4" s="6"/>
      <c r="J4" s="6"/>
      <c r="K4" s="6"/>
    </row>
    <row r="5" ht="22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22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2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2.5" customHeight="1">
      <c r="A8" s="7"/>
      <c r="B8" s="8"/>
      <c r="C8" s="13" t="s">
        <v>4</v>
      </c>
      <c r="D8" s="13" t="s">
        <v>5</v>
      </c>
      <c r="E8" s="14" t="s">
        <v>2</v>
      </c>
      <c r="F8" s="14" t="s">
        <v>3</v>
      </c>
      <c r="G8" s="12"/>
      <c r="H8" s="9"/>
      <c r="I8" s="10" t="s">
        <v>1</v>
      </c>
      <c r="J8" s="11" t="s">
        <v>2</v>
      </c>
      <c r="K8" s="11" t="s">
        <v>3</v>
      </c>
    </row>
    <row r="9" ht="29.25" customHeight="1">
      <c r="A9" s="7"/>
      <c r="B9" s="15" t="s">
        <v>6</v>
      </c>
      <c r="C9" s="16">
        <v>1.0</v>
      </c>
      <c r="D9" s="16" t="s">
        <v>16</v>
      </c>
      <c r="E9" s="17" t="s">
        <v>17</v>
      </c>
      <c r="F9" s="18" t="s">
        <v>18</v>
      </c>
      <c r="G9" s="19"/>
      <c r="H9" s="47" t="s">
        <v>19</v>
      </c>
      <c r="J9" s="17" t="s">
        <v>17</v>
      </c>
      <c r="K9" s="17" t="s">
        <v>20</v>
      </c>
    </row>
    <row r="10" ht="29.25" customHeight="1">
      <c r="A10" s="7"/>
      <c r="C10" s="16">
        <v>3.0</v>
      </c>
      <c r="D10" s="16" t="s">
        <v>21</v>
      </c>
      <c r="E10" s="17" t="s">
        <v>17</v>
      </c>
      <c r="F10" s="18" t="s">
        <v>18</v>
      </c>
      <c r="G10" s="19"/>
      <c r="H10" s="16" t="s">
        <v>22</v>
      </c>
      <c r="J10" s="17" t="s">
        <v>17</v>
      </c>
      <c r="K10" s="17" t="s">
        <v>20</v>
      </c>
    </row>
    <row r="11" ht="29.25" customHeight="1">
      <c r="A11" s="7"/>
      <c r="C11" s="16">
        <v>6.0</v>
      </c>
      <c r="D11" s="48" t="s">
        <v>23</v>
      </c>
      <c r="E11" s="17" t="s">
        <v>17</v>
      </c>
      <c r="F11" s="18" t="s">
        <v>18</v>
      </c>
      <c r="G11" s="19"/>
      <c r="H11" s="16" t="s">
        <v>24</v>
      </c>
      <c r="J11" s="17" t="s">
        <v>17</v>
      </c>
      <c r="K11" s="18" t="s">
        <v>20</v>
      </c>
    </row>
    <row r="12" ht="29.25" customHeight="1">
      <c r="A12" s="7"/>
      <c r="C12" s="16">
        <v>10.0</v>
      </c>
      <c r="D12" s="16" t="s">
        <v>25</v>
      </c>
      <c r="E12" s="17" t="s">
        <v>17</v>
      </c>
      <c r="F12" s="18" t="s">
        <v>18</v>
      </c>
      <c r="G12" s="19"/>
      <c r="H12" s="16" t="s">
        <v>26</v>
      </c>
      <c r="J12" s="17" t="s">
        <v>17</v>
      </c>
      <c r="K12" s="18" t="s">
        <v>20</v>
      </c>
    </row>
    <row r="13" ht="29.25" customHeight="1">
      <c r="A13" s="7"/>
      <c r="B13" s="20" t="s">
        <v>7</v>
      </c>
      <c r="C13" s="16">
        <v>11.0</v>
      </c>
      <c r="D13" s="16" t="s">
        <v>27</v>
      </c>
      <c r="E13" s="17" t="s">
        <v>17</v>
      </c>
      <c r="F13" s="18" t="s">
        <v>18</v>
      </c>
      <c r="G13" s="19"/>
      <c r="H13" s="49" t="s">
        <v>28</v>
      </c>
      <c r="J13" s="17" t="s">
        <v>17</v>
      </c>
      <c r="K13" s="18" t="s">
        <v>20</v>
      </c>
    </row>
    <row r="14" ht="29.25" customHeight="1">
      <c r="A14" s="7"/>
      <c r="B14" s="21" t="s">
        <v>29</v>
      </c>
      <c r="C14" s="16">
        <v>13.0</v>
      </c>
      <c r="D14" s="16" t="s">
        <v>30</v>
      </c>
      <c r="E14" s="17" t="s">
        <v>17</v>
      </c>
      <c r="F14" s="18" t="s">
        <v>18</v>
      </c>
      <c r="G14" s="19"/>
      <c r="H14" s="50" t="s">
        <v>31</v>
      </c>
      <c r="J14" s="17" t="s">
        <v>17</v>
      </c>
      <c r="K14" s="18" t="s">
        <v>20</v>
      </c>
    </row>
    <row r="15" ht="29.25" customHeight="1">
      <c r="A15" s="7"/>
      <c r="C15" s="16">
        <v>14.0</v>
      </c>
      <c r="D15" s="16" t="s">
        <v>32</v>
      </c>
      <c r="E15" s="17" t="s">
        <v>17</v>
      </c>
      <c r="F15" s="18" t="s">
        <v>18</v>
      </c>
      <c r="G15" s="19"/>
      <c r="H15" s="16" t="s">
        <v>33</v>
      </c>
      <c r="J15" s="17" t="s">
        <v>17</v>
      </c>
      <c r="K15" s="18" t="s">
        <v>20</v>
      </c>
    </row>
    <row r="16" ht="29.25" customHeight="1">
      <c r="A16" s="7"/>
      <c r="B16" s="21" t="s">
        <v>34</v>
      </c>
      <c r="C16" s="16">
        <v>15.0</v>
      </c>
      <c r="D16" s="48" t="s">
        <v>35</v>
      </c>
      <c r="E16" s="51" t="s">
        <v>17</v>
      </c>
      <c r="F16" s="52" t="s">
        <v>18</v>
      </c>
      <c r="G16" s="19"/>
      <c r="H16" s="50" t="s">
        <v>36</v>
      </c>
      <c r="J16" s="17" t="s">
        <v>17</v>
      </c>
      <c r="K16" s="18" t="s">
        <v>20</v>
      </c>
    </row>
    <row r="17" ht="29.25" customHeight="1">
      <c r="A17" s="7"/>
      <c r="C17" s="16">
        <v>15.0</v>
      </c>
      <c r="D17" s="16" t="s">
        <v>37</v>
      </c>
      <c r="E17" s="17" t="s">
        <v>17</v>
      </c>
      <c r="F17" s="18" t="s">
        <v>18</v>
      </c>
      <c r="G17" s="19"/>
      <c r="H17" s="50" t="s">
        <v>38</v>
      </c>
      <c r="J17" s="17" t="s">
        <v>17</v>
      </c>
      <c r="K17" s="18" t="s">
        <v>20</v>
      </c>
    </row>
    <row r="18" ht="29.25" customHeight="1">
      <c r="A18" s="7"/>
      <c r="B18" s="21" t="s">
        <v>39</v>
      </c>
      <c r="C18" s="16">
        <v>15.0</v>
      </c>
      <c r="D18" s="16" t="s">
        <v>40</v>
      </c>
      <c r="E18" s="17" t="s">
        <v>17</v>
      </c>
      <c r="F18" s="18" t="s">
        <v>18</v>
      </c>
      <c r="G18" s="19"/>
      <c r="H18" s="16"/>
      <c r="J18" s="17"/>
      <c r="K18" s="18"/>
    </row>
    <row r="19" ht="29.25" customHeight="1">
      <c r="A19" s="7"/>
      <c r="C19" s="16">
        <v>15.0</v>
      </c>
      <c r="D19" s="16" t="s">
        <v>41</v>
      </c>
      <c r="E19" s="17" t="s">
        <v>17</v>
      </c>
      <c r="F19" s="18" t="s">
        <v>18</v>
      </c>
      <c r="G19" s="19"/>
      <c r="H19" s="53"/>
      <c r="J19" s="17"/>
      <c r="K19" s="18"/>
    </row>
    <row r="20" ht="29.25" customHeight="1">
      <c r="A20" s="7"/>
      <c r="C20" s="16">
        <v>16.0</v>
      </c>
      <c r="D20" s="16" t="s">
        <v>42</v>
      </c>
      <c r="E20" s="17" t="s">
        <v>17</v>
      </c>
      <c r="F20" s="18" t="s">
        <v>18</v>
      </c>
      <c r="G20" s="19"/>
      <c r="H20" s="49"/>
      <c r="J20" s="17"/>
      <c r="K20" s="18"/>
    </row>
    <row r="21" ht="29.25" customHeight="1">
      <c r="A21" s="7"/>
      <c r="B21" s="54"/>
      <c r="C21" s="16">
        <v>16.0</v>
      </c>
      <c r="D21" s="16" t="s">
        <v>43</v>
      </c>
      <c r="E21" s="17" t="s">
        <v>17</v>
      </c>
      <c r="F21" s="18" t="s">
        <v>18</v>
      </c>
      <c r="G21" s="19"/>
      <c r="H21" s="55"/>
      <c r="J21" s="17"/>
      <c r="K21" s="18"/>
    </row>
    <row r="22" ht="29.25" customHeight="1">
      <c r="A22" s="7"/>
      <c r="B22" s="22"/>
      <c r="C22" s="16">
        <v>16.0</v>
      </c>
      <c r="D22" s="16" t="s">
        <v>44</v>
      </c>
      <c r="E22" s="17" t="s">
        <v>17</v>
      </c>
      <c r="F22" s="18" t="s">
        <v>18</v>
      </c>
      <c r="G22" s="19"/>
      <c r="H22" s="16"/>
      <c r="J22" s="17"/>
      <c r="K22" s="18"/>
    </row>
    <row r="23" ht="29.25" customHeight="1">
      <c r="A23" s="7"/>
      <c r="B23" s="22"/>
      <c r="C23" s="16">
        <v>16.0</v>
      </c>
      <c r="D23" s="16" t="s">
        <v>45</v>
      </c>
      <c r="E23" s="17" t="s">
        <v>17</v>
      </c>
      <c r="F23" s="18" t="s">
        <v>18</v>
      </c>
      <c r="G23" s="19"/>
      <c r="H23" s="55"/>
      <c r="J23" s="17"/>
      <c r="K23" s="18"/>
    </row>
    <row r="24" ht="29.25" customHeight="1">
      <c r="A24" s="7"/>
      <c r="B24" s="22"/>
      <c r="C24" s="16">
        <v>17.0</v>
      </c>
      <c r="D24" s="16" t="s">
        <v>46</v>
      </c>
      <c r="E24" s="17" t="s">
        <v>17</v>
      </c>
      <c r="F24" s="18" t="s">
        <v>47</v>
      </c>
      <c r="G24" s="19"/>
      <c r="H24" s="16"/>
      <c r="J24" s="17"/>
      <c r="K24" s="18"/>
    </row>
    <row r="25" ht="29.25" customHeight="1">
      <c r="A25" s="7"/>
      <c r="B25" s="22"/>
      <c r="C25" s="16">
        <v>18.0</v>
      </c>
      <c r="D25" s="16" t="s">
        <v>48</v>
      </c>
      <c r="E25" s="17" t="s">
        <v>17</v>
      </c>
      <c r="F25" s="18" t="s">
        <v>18</v>
      </c>
      <c r="G25" s="19"/>
      <c r="H25" s="56"/>
      <c r="J25" s="17"/>
      <c r="K25" s="18"/>
    </row>
    <row r="26" ht="29.25" customHeight="1">
      <c r="A26" s="7"/>
      <c r="B26" s="22"/>
      <c r="C26" s="16">
        <v>18.0</v>
      </c>
      <c r="D26" s="16" t="s">
        <v>49</v>
      </c>
      <c r="E26" s="17" t="s">
        <v>17</v>
      </c>
      <c r="F26" s="18" t="s">
        <v>18</v>
      </c>
      <c r="G26" s="19"/>
      <c r="H26" s="49"/>
      <c r="J26" s="17"/>
      <c r="K26" s="18"/>
    </row>
    <row r="27" ht="29.25" customHeight="1">
      <c r="A27" s="7"/>
      <c r="B27" s="22"/>
      <c r="C27" s="16">
        <v>18.0</v>
      </c>
      <c r="D27" s="16" t="s">
        <v>49</v>
      </c>
      <c r="E27" s="17" t="s">
        <v>17</v>
      </c>
      <c r="F27" s="18" t="s">
        <v>18</v>
      </c>
      <c r="G27" s="19"/>
      <c r="H27" s="49"/>
      <c r="J27" s="17"/>
      <c r="K27" s="18"/>
    </row>
    <row r="28" ht="29.25" customHeight="1">
      <c r="A28" s="7"/>
      <c r="B28" s="54"/>
      <c r="C28" s="16">
        <v>20.0</v>
      </c>
      <c r="D28" s="16" t="s">
        <v>50</v>
      </c>
      <c r="E28" s="17" t="s">
        <v>17</v>
      </c>
      <c r="F28" s="18" t="s">
        <v>18</v>
      </c>
      <c r="G28" s="19"/>
      <c r="H28" s="56"/>
      <c r="J28" s="17"/>
      <c r="K28" s="18"/>
    </row>
    <row r="29" ht="29.25" customHeight="1">
      <c r="A29" s="7"/>
      <c r="B29" s="54"/>
      <c r="C29" s="16">
        <v>23.0</v>
      </c>
      <c r="D29" s="16" t="s">
        <v>51</v>
      </c>
      <c r="E29" s="17" t="s">
        <v>17</v>
      </c>
      <c r="F29" s="18" t="s">
        <v>18</v>
      </c>
      <c r="G29" s="19"/>
      <c r="H29" s="56"/>
      <c r="J29" s="17"/>
      <c r="K29" s="18"/>
    </row>
    <row r="30" ht="29.25" customHeight="1">
      <c r="A30" s="7"/>
      <c r="B30" s="22"/>
      <c r="C30" s="16">
        <v>23.0</v>
      </c>
      <c r="D30" s="16" t="s">
        <v>52</v>
      </c>
      <c r="E30" s="17" t="s">
        <v>17</v>
      </c>
      <c r="F30" s="18" t="s">
        <v>18</v>
      </c>
      <c r="G30" s="19"/>
      <c r="H30" s="49"/>
      <c r="J30" s="17"/>
      <c r="K30" s="18"/>
    </row>
    <row r="31" ht="29.25" customHeight="1">
      <c r="A31" s="7"/>
      <c r="B31" s="22"/>
      <c r="C31" s="16">
        <v>24.0</v>
      </c>
      <c r="D31" s="16" t="s">
        <v>53</v>
      </c>
      <c r="E31" s="17" t="s">
        <v>17</v>
      </c>
      <c r="F31" s="18" t="s">
        <v>18</v>
      </c>
      <c r="G31" s="19"/>
      <c r="H31" s="56"/>
      <c r="J31" s="17"/>
      <c r="K31" s="18"/>
    </row>
    <row r="32" ht="29.25" customHeight="1">
      <c r="A32" s="7"/>
      <c r="B32" s="22"/>
      <c r="C32" s="16">
        <v>26.0</v>
      </c>
      <c r="D32" s="48" t="s">
        <v>54</v>
      </c>
      <c r="E32" s="51" t="s">
        <v>17</v>
      </c>
      <c r="F32" s="18" t="s">
        <v>18</v>
      </c>
      <c r="G32" s="19"/>
      <c r="H32" s="56"/>
      <c r="J32" s="17"/>
      <c r="K32" s="18"/>
    </row>
    <row r="33" ht="29.25" customHeight="1">
      <c r="A33" s="7"/>
      <c r="B33" s="22"/>
      <c r="C33" s="16">
        <v>26.0</v>
      </c>
      <c r="D33" s="16" t="s">
        <v>55</v>
      </c>
      <c r="E33" s="17" t="s">
        <v>17</v>
      </c>
      <c r="F33" s="18" t="s">
        <v>18</v>
      </c>
      <c r="G33" s="19"/>
      <c r="H33" s="49"/>
      <c r="J33" s="17"/>
      <c r="K33" s="18"/>
    </row>
    <row r="34" ht="29.25" customHeight="1">
      <c r="A34" s="7"/>
      <c r="B34" s="22"/>
      <c r="C34" s="16"/>
      <c r="D34" s="16"/>
      <c r="E34" s="17"/>
      <c r="F34" s="18"/>
      <c r="G34" s="19"/>
      <c r="H34" s="16"/>
      <c r="J34" s="17"/>
      <c r="K34" s="18"/>
    </row>
    <row r="35" ht="29.25" customHeight="1">
      <c r="A35" s="7"/>
      <c r="B35" s="22"/>
      <c r="C35" s="16"/>
      <c r="D35" s="16"/>
      <c r="E35" s="17"/>
      <c r="F35" s="18"/>
      <c r="G35" s="19"/>
      <c r="H35" s="16"/>
      <c r="J35" s="17"/>
      <c r="K35" s="18"/>
    </row>
    <row r="36" ht="29.25" customHeight="1">
      <c r="A36" s="7"/>
      <c r="B36" s="22"/>
      <c r="C36" s="16"/>
      <c r="D36" s="16"/>
      <c r="E36" s="17"/>
      <c r="F36" s="18"/>
      <c r="G36" s="19"/>
      <c r="H36" s="16"/>
      <c r="J36" s="17"/>
      <c r="K36" s="18"/>
    </row>
    <row r="37" ht="29.25" customHeight="1">
      <c r="A37" s="7"/>
      <c r="B37" s="22"/>
      <c r="C37" s="16"/>
      <c r="D37" s="16"/>
      <c r="E37" s="17"/>
      <c r="F37" s="18"/>
      <c r="G37" s="19"/>
      <c r="H37" s="16"/>
      <c r="J37" s="17"/>
      <c r="K37" s="18"/>
    </row>
    <row r="38" ht="29.25" customHeight="1">
      <c r="A38" s="7"/>
      <c r="B38" s="22"/>
      <c r="C38" s="23"/>
      <c r="D38" s="23"/>
      <c r="E38" s="24"/>
      <c r="F38" s="25"/>
      <c r="G38" s="19"/>
      <c r="H38" s="23"/>
      <c r="I38" s="26"/>
      <c r="J38" s="24"/>
      <c r="K38" s="25"/>
    </row>
    <row r="39" ht="45.0" customHeight="1">
      <c r="A39" s="7"/>
      <c r="B39" s="27"/>
      <c r="C39" s="16" t="s">
        <v>11</v>
      </c>
      <c r="D39" s="57">
        <v>25.0</v>
      </c>
      <c r="E39" s="7"/>
      <c r="F39" s="7"/>
      <c r="G39" s="29"/>
      <c r="H39" s="16" t="s">
        <v>11</v>
      </c>
      <c r="I39" s="57">
        <v>9.0</v>
      </c>
      <c r="J39" s="7"/>
      <c r="K39" s="7"/>
    </row>
    <row r="40" ht="22.5" customHeight="1">
      <c r="A40" s="7"/>
      <c r="B40" s="27"/>
      <c r="C40" s="30"/>
      <c r="D40" s="27"/>
      <c r="E40" s="27"/>
      <c r="F40" s="27"/>
      <c r="G40" s="27"/>
      <c r="H40" s="27"/>
      <c r="I40" s="27"/>
      <c r="J40" s="31" t="s">
        <v>12</v>
      </c>
      <c r="K40" s="31"/>
    </row>
    <row r="41" ht="7.5" customHeight="1">
      <c r="A41" s="32"/>
      <c r="B41" s="33"/>
      <c r="C41" s="34"/>
      <c r="D41" s="33"/>
      <c r="E41" s="33"/>
      <c r="F41" s="33"/>
      <c r="G41" s="33"/>
      <c r="H41" s="33"/>
      <c r="I41" s="33"/>
      <c r="J41" s="32"/>
      <c r="K41" s="7"/>
    </row>
    <row r="42" ht="33.75" customHeight="1">
      <c r="A42" s="7"/>
      <c r="B42" s="27"/>
      <c r="C42" s="30"/>
      <c r="D42" s="27"/>
      <c r="E42" s="27"/>
      <c r="F42" s="27"/>
      <c r="G42" s="27"/>
      <c r="H42" s="27"/>
      <c r="I42" s="27"/>
      <c r="J42" s="7"/>
      <c r="K42" s="7"/>
    </row>
    <row r="43" ht="22.5" customHeight="1">
      <c r="A43" s="7"/>
      <c r="B43" s="8"/>
      <c r="C43" s="35" t="s">
        <v>4</v>
      </c>
      <c r="D43" s="35" t="s">
        <v>13</v>
      </c>
      <c r="E43" s="36" t="s">
        <v>2</v>
      </c>
      <c r="F43" s="36" t="s">
        <v>3</v>
      </c>
      <c r="G43" s="37"/>
      <c r="H43" s="37"/>
      <c r="I43" s="38"/>
      <c r="J43" s="37"/>
      <c r="K43" s="37"/>
    </row>
    <row r="44" ht="29.25" customHeight="1">
      <c r="A44" s="7"/>
      <c r="B44" s="39" t="s">
        <v>14</v>
      </c>
      <c r="C44" s="16">
        <v>19.0</v>
      </c>
      <c r="D44" s="16" t="s">
        <v>42</v>
      </c>
      <c r="E44" s="17" t="s">
        <v>17</v>
      </c>
      <c r="F44" s="18" t="s">
        <v>20</v>
      </c>
      <c r="G44" s="17"/>
      <c r="I44" s="40"/>
      <c r="J44" s="41"/>
      <c r="K44" s="41"/>
    </row>
    <row r="45" ht="29.25" customHeight="1">
      <c r="A45" s="7"/>
      <c r="C45" s="16">
        <v>8.0</v>
      </c>
      <c r="D45" s="16" t="s">
        <v>56</v>
      </c>
      <c r="E45" s="17" t="s">
        <v>17</v>
      </c>
      <c r="F45" s="18" t="s">
        <v>20</v>
      </c>
      <c r="G45" s="17"/>
      <c r="I45" s="40"/>
      <c r="J45" s="41"/>
      <c r="K45" s="41"/>
    </row>
    <row r="46" ht="29.25" customHeight="1">
      <c r="A46" s="7"/>
      <c r="C46" s="16">
        <v>22.0</v>
      </c>
      <c r="D46" s="16" t="s">
        <v>57</v>
      </c>
      <c r="E46" s="17" t="s">
        <v>17</v>
      </c>
      <c r="F46" s="18" t="s">
        <v>20</v>
      </c>
      <c r="G46" s="17"/>
      <c r="I46" s="40"/>
      <c r="J46" s="41"/>
      <c r="K46" s="41"/>
    </row>
    <row r="47" ht="29.25" customHeight="1">
      <c r="A47" s="7"/>
      <c r="B47" s="20" t="s">
        <v>13</v>
      </c>
      <c r="C47" s="16">
        <v>27.0</v>
      </c>
      <c r="D47" s="16" t="s">
        <v>58</v>
      </c>
      <c r="E47" s="17" t="s">
        <v>17</v>
      </c>
      <c r="F47" s="18" t="s">
        <v>20</v>
      </c>
      <c r="G47" s="17"/>
      <c r="I47" s="40"/>
      <c r="J47" s="41"/>
      <c r="K47" s="41"/>
    </row>
    <row r="48" ht="29.25" customHeight="1">
      <c r="A48" s="7"/>
      <c r="B48" s="58">
        <v>6.0</v>
      </c>
      <c r="C48" s="16">
        <v>29.0</v>
      </c>
      <c r="D48" s="50" t="s">
        <v>59</v>
      </c>
      <c r="E48" s="17" t="s">
        <v>17</v>
      </c>
      <c r="F48" s="18" t="s">
        <v>20</v>
      </c>
      <c r="G48" s="17"/>
      <c r="I48" s="40"/>
      <c r="J48" s="41"/>
      <c r="K48" s="41"/>
    </row>
    <row r="49" ht="29.25" customHeight="1">
      <c r="A49" s="7"/>
      <c r="C49" s="16">
        <v>30.0</v>
      </c>
      <c r="D49" s="16" t="s">
        <v>60</v>
      </c>
      <c r="E49" s="17" t="s">
        <v>17</v>
      </c>
      <c r="F49" s="18" t="s">
        <v>20</v>
      </c>
      <c r="G49" s="17"/>
      <c r="I49" s="40"/>
      <c r="J49" s="41"/>
      <c r="K49" s="41"/>
    </row>
    <row r="50" ht="29.25" customHeight="1">
      <c r="A50" s="7"/>
      <c r="B50" s="22"/>
      <c r="C50" s="16"/>
      <c r="D50" s="16"/>
      <c r="E50" s="17"/>
      <c r="F50" s="18"/>
      <c r="G50" s="17"/>
      <c r="I50" s="40"/>
      <c r="J50" s="41"/>
      <c r="K50" s="41"/>
    </row>
    <row r="51" ht="45.0" customHeight="1">
      <c r="A51" s="7"/>
      <c r="B51" s="27"/>
      <c r="C51" s="23"/>
      <c r="D51" s="23"/>
      <c r="E51" s="24"/>
      <c r="F51" s="25"/>
      <c r="G51" s="17"/>
      <c r="I51" s="40"/>
      <c r="J51" s="41"/>
      <c r="K51" s="41"/>
    </row>
    <row r="52" ht="22.5" customHeight="1">
      <c r="A52" s="7"/>
      <c r="B52" s="27"/>
      <c r="C52" s="16" t="s">
        <v>11</v>
      </c>
      <c r="D52" s="57">
        <v>6.0</v>
      </c>
      <c r="E52" s="7"/>
      <c r="F52" s="7"/>
      <c r="G52" s="7"/>
      <c r="H52" s="40"/>
      <c r="I52" s="42"/>
      <c r="J52" s="43"/>
      <c r="K52" s="43"/>
    </row>
    <row r="53" ht="7.5" customHeight="1">
      <c r="A53" s="32"/>
      <c r="B53" s="33"/>
      <c r="C53" s="34"/>
      <c r="D53" s="33"/>
      <c r="E53" s="33"/>
      <c r="F53" s="33"/>
      <c r="G53" s="33"/>
      <c r="H53" s="33"/>
      <c r="I53" s="33"/>
      <c r="J53" s="32"/>
      <c r="K53" s="7"/>
    </row>
    <row r="54" ht="33.75" customHeight="1">
      <c r="A54" s="7"/>
      <c r="B54" s="27"/>
      <c r="C54" s="30"/>
      <c r="D54" s="27"/>
      <c r="E54" s="27"/>
      <c r="F54" s="27"/>
      <c r="G54" s="27"/>
      <c r="H54" s="27"/>
      <c r="I54" s="27"/>
      <c r="J54" s="7"/>
      <c r="K54" s="7"/>
    </row>
    <row r="55" ht="22.5" customHeight="1">
      <c r="A55" s="44" t="s">
        <v>15</v>
      </c>
      <c r="K55" s="44"/>
    </row>
    <row r="56" ht="22.5" customHeight="1">
      <c r="A56" s="7"/>
      <c r="B56" s="27"/>
      <c r="C56" s="30"/>
      <c r="D56" s="27"/>
      <c r="E56" s="27"/>
      <c r="F56" s="27"/>
      <c r="G56" s="27"/>
      <c r="H56" s="27"/>
      <c r="I56" s="27"/>
      <c r="J56" s="7"/>
      <c r="K56" s="7"/>
    </row>
    <row r="57" ht="22.5" customHeight="1">
      <c r="A57" s="7"/>
      <c r="B57" s="27"/>
      <c r="C57" s="30"/>
      <c r="D57" s="45"/>
      <c r="E57" s="46"/>
      <c r="F57" s="46"/>
      <c r="G57" s="12"/>
      <c r="H57" s="45"/>
      <c r="I57" s="46"/>
      <c r="J57" s="7"/>
      <c r="K57" s="7"/>
    </row>
  </sheetData>
  <mergeCells count="46">
    <mergeCell ref="B14:B15"/>
    <mergeCell ref="B16:B17"/>
    <mergeCell ref="B18:B20"/>
    <mergeCell ref="B44:B46"/>
    <mergeCell ref="B48:B49"/>
    <mergeCell ref="B4:H4"/>
    <mergeCell ref="B9:B12"/>
    <mergeCell ref="H9:I9"/>
    <mergeCell ref="H10:I10"/>
    <mergeCell ref="H11:I11"/>
    <mergeCell ref="H12:I12"/>
    <mergeCell ref="H15:I15"/>
    <mergeCell ref="H13:I13"/>
    <mergeCell ref="H14:I14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G47:H47"/>
    <mergeCell ref="G48:H48"/>
    <mergeCell ref="G49:H49"/>
    <mergeCell ref="G50:H50"/>
    <mergeCell ref="G51:H51"/>
    <mergeCell ref="A55:J55"/>
    <mergeCell ref="H35:I35"/>
    <mergeCell ref="H36:I36"/>
    <mergeCell ref="H37:I37"/>
    <mergeCell ref="H38:I38"/>
    <mergeCell ref="G44:H44"/>
    <mergeCell ref="G45:H45"/>
    <mergeCell ref="G46:H46"/>
  </mergeCells>
  <conditionalFormatting sqref="B1:B54 B56:B57">
    <cfRule type="expression" dxfId="0" priority="1">
      <formula>AND(($B:$B)=max($B:$B), ISNUMBER($B:$B))</formula>
    </cfRule>
  </conditionalFormatting>
  <dataValidations>
    <dataValidation type="list" allowBlank="1" showErrorMessage="1" sqref="F9:F38">
      <formula1>"VISTORIA,ASSINATURA,APÓLICE,ARQUIVOS,AGENDA,RENOVADO,NÃO RENOVADO,CONCLUÍDA,PAGAMENTOS"</formula1>
    </dataValidation>
    <dataValidation type="list" allowBlank="1" showErrorMessage="1" sqref="F44:F51">
      <formula1>"VISTORIA,ASSINATURA,APÓLICE,ARQUIVOS,AGENDA,CONCLUÍDO,PAGAMENTOS"</formula1>
    </dataValidation>
    <dataValidation type="list" allowBlank="1" showErrorMessage="1" sqref="E9:E33 J9:J38 E44:E51">
      <formula1>"EM COTAÇÃO,EM ANÁLISE,CONCLUÍDA"</formula1>
    </dataValidation>
    <dataValidation type="list" allowBlank="1" showErrorMessage="1" sqref="K9:K38">
      <formula1>"VISTORIA,ASSINATURA,APÓLICE,ARQUIVOS,AGENDA,CONCLUÍDO,PAGAMENTOS"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6.38"/>
    <col customWidth="1" min="3" max="3" width="5.25"/>
    <col customWidth="1" min="4" max="4" width="28.63"/>
    <col customWidth="1" min="5" max="5" width="16.13"/>
    <col customWidth="1" min="6" max="6" width="14.5"/>
    <col customWidth="1" min="7" max="7" width="2.63"/>
    <col customWidth="1" min="8" max="8" width="6.13"/>
    <col customWidth="1" min="9" max="9" width="19.38"/>
    <col customWidth="1" min="10" max="10" width="19.75"/>
    <col customWidth="1" min="11" max="11" width="12.2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/>
      <c r="B4" s="5" t="s">
        <v>0</v>
      </c>
      <c r="I4" s="6"/>
      <c r="J4" s="6"/>
      <c r="K4" s="6"/>
    </row>
    <row r="5" ht="22.5" customHeight="1">
      <c r="A5" s="7"/>
      <c r="B5" s="7"/>
      <c r="C5" s="7"/>
      <c r="D5" s="7"/>
      <c r="E5" s="7"/>
      <c r="F5" s="7"/>
      <c r="G5" s="59"/>
      <c r="H5" s="7"/>
      <c r="I5" s="7"/>
      <c r="J5" s="7"/>
      <c r="K5" s="7"/>
    </row>
    <row r="6" ht="22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2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2.5" customHeight="1">
      <c r="A8" s="7"/>
      <c r="B8" s="8"/>
      <c r="C8" s="13" t="s">
        <v>4</v>
      </c>
      <c r="D8" s="13" t="s">
        <v>5</v>
      </c>
      <c r="E8" s="14" t="s">
        <v>2</v>
      </c>
      <c r="F8" s="14" t="s">
        <v>3</v>
      </c>
      <c r="G8" s="12"/>
      <c r="H8" s="9"/>
      <c r="I8" s="10" t="s">
        <v>1</v>
      </c>
      <c r="J8" s="11" t="s">
        <v>2</v>
      </c>
      <c r="K8" s="11" t="s">
        <v>3</v>
      </c>
    </row>
    <row r="9" ht="29.25" customHeight="1">
      <c r="A9" s="7"/>
      <c r="B9" s="15" t="s">
        <v>6</v>
      </c>
      <c r="C9" s="16">
        <v>1.0</v>
      </c>
      <c r="D9" s="16" t="s">
        <v>61</v>
      </c>
      <c r="E9" s="17" t="s">
        <v>17</v>
      </c>
      <c r="F9" s="18" t="s">
        <v>18</v>
      </c>
      <c r="G9" s="19"/>
      <c r="H9" s="49" t="s">
        <v>62</v>
      </c>
      <c r="J9" s="17" t="s">
        <v>17</v>
      </c>
      <c r="K9" s="18" t="s">
        <v>20</v>
      </c>
    </row>
    <row r="10" ht="29.25" customHeight="1">
      <c r="A10" s="7"/>
      <c r="C10" s="16">
        <v>1.0</v>
      </c>
      <c r="D10" s="16" t="s">
        <v>63</v>
      </c>
      <c r="E10" s="17" t="s">
        <v>17</v>
      </c>
      <c r="F10" s="18" t="s">
        <v>18</v>
      </c>
      <c r="G10" s="19"/>
      <c r="H10" s="49" t="s">
        <v>64</v>
      </c>
      <c r="J10" s="17" t="s">
        <v>17</v>
      </c>
      <c r="K10" s="18" t="s">
        <v>20</v>
      </c>
    </row>
    <row r="11" ht="29.25" customHeight="1">
      <c r="A11" s="7"/>
      <c r="C11" s="16">
        <v>1.0</v>
      </c>
      <c r="D11" s="16" t="s">
        <v>65</v>
      </c>
      <c r="E11" s="17" t="s">
        <v>17</v>
      </c>
      <c r="F11" s="18" t="s">
        <v>18</v>
      </c>
      <c r="G11" s="19"/>
      <c r="H11" s="50" t="s">
        <v>66</v>
      </c>
      <c r="J11" s="17" t="s">
        <v>17</v>
      </c>
      <c r="K11" s="18" t="s">
        <v>20</v>
      </c>
    </row>
    <row r="12" ht="29.25" customHeight="1">
      <c r="A12" s="7"/>
      <c r="B12" s="20" t="s">
        <v>7</v>
      </c>
      <c r="C12" s="16">
        <v>2.0</v>
      </c>
      <c r="D12" s="16" t="s">
        <v>67</v>
      </c>
      <c r="E12" s="17" t="s">
        <v>17</v>
      </c>
      <c r="F12" s="18" t="s">
        <v>18</v>
      </c>
      <c r="G12" s="19"/>
      <c r="H12" s="16" t="s">
        <v>68</v>
      </c>
      <c r="J12" s="17" t="s">
        <v>17</v>
      </c>
      <c r="K12" s="18" t="s">
        <v>20</v>
      </c>
    </row>
    <row r="13" ht="29.25" customHeight="1">
      <c r="A13" s="7"/>
      <c r="B13" s="21" t="s">
        <v>69</v>
      </c>
      <c r="C13" s="16">
        <v>3.0</v>
      </c>
      <c r="D13" s="16" t="s">
        <v>70</v>
      </c>
      <c r="E13" s="17" t="s">
        <v>17</v>
      </c>
      <c r="F13" s="18" t="s">
        <v>18</v>
      </c>
      <c r="G13" s="19"/>
      <c r="H13" s="49" t="s">
        <v>71</v>
      </c>
      <c r="J13" s="17" t="s">
        <v>17</v>
      </c>
      <c r="K13" s="18" t="s">
        <v>20</v>
      </c>
    </row>
    <row r="14" ht="29.25" customHeight="1">
      <c r="A14" s="7"/>
      <c r="C14" s="16">
        <v>5.0</v>
      </c>
      <c r="D14" s="16" t="s">
        <v>72</v>
      </c>
      <c r="E14" s="17" t="s">
        <v>17</v>
      </c>
      <c r="F14" s="18" t="s">
        <v>18</v>
      </c>
      <c r="G14" s="19"/>
      <c r="H14" s="50" t="s">
        <v>73</v>
      </c>
      <c r="J14" s="17" t="s">
        <v>17</v>
      </c>
      <c r="K14" s="18" t="s">
        <v>20</v>
      </c>
    </row>
    <row r="15" ht="29.25" customHeight="1">
      <c r="A15" s="7"/>
      <c r="B15" s="21" t="s">
        <v>74</v>
      </c>
      <c r="C15" s="16">
        <v>5.0</v>
      </c>
      <c r="D15" s="16" t="s">
        <v>75</v>
      </c>
      <c r="E15" s="17" t="s">
        <v>17</v>
      </c>
      <c r="F15" s="18" t="s">
        <v>18</v>
      </c>
      <c r="G15" s="19"/>
      <c r="H15" s="16" t="s">
        <v>76</v>
      </c>
      <c r="J15" s="17" t="s">
        <v>17</v>
      </c>
      <c r="K15" s="18" t="s">
        <v>20</v>
      </c>
    </row>
    <row r="16" ht="29.25" customHeight="1">
      <c r="A16" s="7"/>
      <c r="C16" s="16">
        <v>6.0</v>
      </c>
      <c r="D16" s="16" t="s">
        <v>77</v>
      </c>
      <c r="E16" s="17" t="s">
        <v>17</v>
      </c>
      <c r="F16" s="18" t="s">
        <v>18</v>
      </c>
      <c r="G16" s="19"/>
      <c r="H16" s="16" t="s">
        <v>78</v>
      </c>
      <c r="J16" s="17" t="s">
        <v>17</v>
      </c>
      <c r="K16" s="18" t="s">
        <v>20</v>
      </c>
    </row>
    <row r="17" ht="29.25" customHeight="1">
      <c r="A17" s="7"/>
      <c r="B17" s="21" t="s">
        <v>39</v>
      </c>
      <c r="C17" s="16">
        <v>6.0</v>
      </c>
      <c r="D17" s="16" t="s">
        <v>79</v>
      </c>
      <c r="E17" s="17" t="s">
        <v>17</v>
      </c>
      <c r="F17" s="18" t="s">
        <v>18</v>
      </c>
      <c r="G17" s="19"/>
      <c r="H17" s="16" t="s">
        <v>80</v>
      </c>
      <c r="J17" s="17" t="s">
        <v>17</v>
      </c>
      <c r="K17" s="18" t="s">
        <v>20</v>
      </c>
    </row>
    <row r="18" ht="29.25" customHeight="1">
      <c r="A18" s="7"/>
      <c r="C18" s="16">
        <v>7.0</v>
      </c>
      <c r="D18" s="16" t="s">
        <v>81</v>
      </c>
      <c r="E18" s="17" t="s">
        <v>17</v>
      </c>
      <c r="F18" s="18" t="s">
        <v>18</v>
      </c>
      <c r="G18" s="19"/>
      <c r="H18" s="16"/>
      <c r="J18" s="17"/>
      <c r="K18" s="18"/>
    </row>
    <row r="19" ht="29.25" customHeight="1">
      <c r="A19" s="7"/>
      <c r="B19" s="22"/>
      <c r="C19" s="16">
        <v>8.0</v>
      </c>
      <c r="D19" s="16" t="s">
        <v>82</v>
      </c>
      <c r="E19" s="17" t="s">
        <v>17</v>
      </c>
      <c r="F19" s="18" t="s">
        <v>18</v>
      </c>
      <c r="G19" s="19"/>
      <c r="H19" s="16"/>
      <c r="J19" s="17"/>
      <c r="K19" s="18"/>
    </row>
    <row r="20" ht="29.25" customHeight="1">
      <c r="A20" s="7"/>
      <c r="B20" s="22"/>
      <c r="C20" s="16">
        <v>8.0</v>
      </c>
      <c r="D20" s="16" t="s">
        <v>83</v>
      </c>
      <c r="E20" s="17" t="s">
        <v>17</v>
      </c>
      <c r="F20" s="18" t="s">
        <v>18</v>
      </c>
      <c r="G20" s="19"/>
      <c r="H20" s="16"/>
      <c r="J20" s="17"/>
      <c r="K20" s="18"/>
    </row>
    <row r="21" ht="29.25" customHeight="1">
      <c r="A21" s="7"/>
      <c r="B21" s="22"/>
      <c r="C21" s="16">
        <v>9.0</v>
      </c>
      <c r="D21" s="16" t="s">
        <v>84</v>
      </c>
      <c r="E21" s="17" t="s">
        <v>17</v>
      </c>
      <c r="F21" s="18" t="s">
        <v>18</v>
      </c>
      <c r="G21" s="19"/>
      <c r="H21" s="16"/>
      <c r="J21" s="17"/>
      <c r="K21" s="18"/>
    </row>
    <row r="22" ht="29.25" customHeight="1">
      <c r="A22" s="7"/>
      <c r="B22" s="22"/>
      <c r="C22" s="16">
        <v>9.0</v>
      </c>
      <c r="D22" s="16" t="s">
        <v>85</v>
      </c>
      <c r="E22" s="17" t="s">
        <v>17</v>
      </c>
      <c r="F22" s="18" t="s">
        <v>18</v>
      </c>
      <c r="G22" s="19"/>
      <c r="H22" s="16"/>
      <c r="J22" s="17"/>
      <c r="K22" s="18"/>
    </row>
    <row r="23" ht="29.25" customHeight="1">
      <c r="A23" s="7"/>
      <c r="B23" s="22"/>
      <c r="C23" s="16">
        <v>11.0</v>
      </c>
      <c r="D23" s="16" t="s">
        <v>86</v>
      </c>
      <c r="E23" s="17" t="s">
        <v>17</v>
      </c>
      <c r="F23" s="18" t="s">
        <v>18</v>
      </c>
      <c r="G23" s="19"/>
      <c r="H23" s="16"/>
      <c r="J23" s="17"/>
      <c r="K23" s="18"/>
    </row>
    <row r="24" ht="29.25" customHeight="1">
      <c r="A24" s="7"/>
      <c r="B24" s="22"/>
      <c r="C24" s="16">
        <v>12.0</v>
      </c>
      <c r="D24" s="16" t="s">
        <v>87</v>
      </c>
      <c r="E24" s="17" t="s">
        <v>17</v>
      </c>
      <c r="F24" s="18" t="s">
        <v>18</v>
      </c>
      <c r="G24" s="19"/>
      <c r="H24" s="16"/>
      <c r="J24" s="17"/>
      <c r="K24" s="18"/>
    </row>
    <row r="25" ht="29.25" customHeight="1">
      <c r="A25" s="7"/>
      <c r="B25" s="22"/>
      <c r="C25" s="16">
        <v>13.0</v>
      </c>
      <c r="D25" s="16" t="s">
        <v>88</v>
      </c>
      <c r="E25" s="17" t="s">
        <v>17</v>
      </c>
      <c r="F25" s="18" t="s">
        <v>18</v>
      </c>
      <c r="G25" s="19"/>
      <c r="H25" s="16"/>
      <c r="J25" s="17"/>
      <c r="K25" s="18"/>
    </row>
    <row r="26" ht="29.25" customHeight="1">
      <c r="A26" s="7"/>
      <c r="B26" s="54"/>
      <c r="C26" s="16">
        <v>14.0</v>
      </c>
      <c r="D26" s="16" t="s">
        <v>89</v>
      </c>
      <c r="E26" s="17" t="s">
        <v>17</v>
      </c>
      <c r="F26" s="18" t="s">
        <v>18</v>
      </c>
      <c r="G26" s="19"/>
      <c r="H26" s="16"/>
      <c r="J26" s="17"/>
      <c r="K26" s="18"/>
    </row>
    <row r="27" ht="29.25" customHeight="1">
      <c r="A27" s="7"/>
      <c r="B27" s="22"/>
      <c r="C27" s="16">
        <v>15.0</v>
      </c>
      <c r="D27" s="16" t="s">
        <v>90</v>
      </c>
      <c r="E27" s="17" t="s">
        <v>17</v>
      </c>
      <c r="F27" s="18" t="s">
        <v>18</v>
      </c>
      <c r="G27" s="19"/>
      <c r="H27" s="16"/>
      <c r="J27" s="17"/>
      <c r="K27" s="18"/>
    </row>
    <row r="28" ht="29.25" customHeight="1">
      <c r="A28" s="7"/>
      <c r="B28" s="22"/>
      <c r="C28" s="16">
        <v>15.0</v>
      </c>
      <c r="D28" s="16" t="s">
        <v>91</v>
      </c>
      <c r="E28" s="17" t="s">
        <v>17</v>
      </c>
      <c r="F28" s="18" t="s">
        <v>18</v>
      </c>
      <c r="G28" s="19"/>
      <c r="H28" s="16"/>
      <c r="J28" s="17"/>
      <c r="K28" s="18"/>
    </row>
    <row r="29" ht="29.25" customHeight="1">
      <c r="A29" s="7"/>
      <c r="B29" s="22"/>
      <c r="C29" s="16">
        <v>15.0</v>
      </c>
      <c r="D29" s="16" t="s">
        <v>92</v>
      </c>
      <c r="E29" s="17" t="s">
        <v>17</v>
      </c>
      <c r="F29" s="18" t="s">
        <v>18</v>
      </c>
      <c r="G29" s="19"/>
      <c r="H29" s="16"/>
      <c r="J29" s="17"/>
      <c r="K29" s="18"/>
    </row>
    <row r="30" ht="29.25" customHeight="1">
      <c r="A30" s="7"/>
      <c r="B30" s="22"/>
      <c r="C30" s="16">
        <v>16.0</v>
      </c>
      <c r="D30" s="16" t="s">
        <v>93</v>
      </c>
      <c r="E30" s="17" t="s">
        <v>17</v>
      </c>
      <c r="F30" s="18" t="s">
        <v>18</v>
      </c>
      <c r="G30" s="19"/>
      <c r="H30" s="16"/>
      <c r="J30" s="17"/>
      <c r="K30" s="18"/>
    </row>
    <row r="31" ht="29.25" customHeight="1">
      <c r="A31" s="7"/>
      <c r="B31" s="22"/>
      <c r="C31" s="16">
        <v>18.0</v>
      </c>
      <c r="D31" s="16" t="s">
        <v>94</v>
      </c>
      <c r="E31" s="17" t="s">
        <v>17</v>
      </c>
      <c r="F31" s="18" t="s">
        <v>18</v>
      </c>
      <c r="G31" s="19"/>
      <c r="H31" s="16"/>
      <c r="J31" s="17"/>
      <c r="K31" s="18"/>
    </row>
    <row r="32" ht="29.25" customHeight="1">
      <c r="A32" s="7"/>
      <c r="B32" s="22"/>
      <c r="C32" s="16">
        <v>18.0</v>
      </c>
      <c r="D32" s="16" t="s">
        <v>95</v>
      </c>
      <c r="E32" s="17" t="s">
        <v>17</v>
      </c>
      <c r="F32" s="18" t="s">
        <v>47</v>
      </c>
      <c r="G32" s="19"/>
      <c r="H32" s="16"/>
      <c r="J32" s="17"/>
      <c r="K32" s="18"/>
    </row>
    <row r="33" ht="29.25" customHeight="1">
      <c r="A33" s="7"/>
      <c r="B33" s="22"/>
      <c r="C33" s="16">
        <v>18.0</v>
      </c>
      <c r="D33" s="16" t="s">
        <v>96</v>
      </c>
      <c r="E33" s="17" t="s">
        <v>17</v>
      </c>
      <c r="F33" s="18" t="s">
        <v>18</v>
      </c>
      <c r="G33" s="19"/>
      <c r="H33" s="16"/>
      <c r="J33" s="17"/>
      <c r="K33" s="18"/>
    </row>
    <row r="34" ht="29.25" customHeight="1">
      <c r="A34" s="7"/>
      <c r="B34" s="22"/>
      <c r="C34" s="16">
        <v>19.0</v>
      </c>
      <c r="D34" s="16" t="s">
        <v>97</v>
      </c>
      <c r="E34" s="17" t="s">
        <v>17</v>
      </c>
      <c r="F34" s="18" t="s">
        <v>18</v>
      </c>
      <c r="G34" s="19"/>
      <c r="H34" s="16"/>
      <c r="J34" s="17"/>
      <c r="K34" s="18"/>
    </row>
    <row r="35" ht="29.25" customHeight="1">
      <c r="A35" s="7"/>
      <c r="B35" s="22"/>
      <c r="C35" s="16">
        <v>19.0</v>
      </c>
      <c r="D35" s="16" t="s">
        <v>98</v>
      </c>
      <c r="E35" s="17" t="s">
        <v>17</v>
      </c>
      <c r="F35" s="18" t="s">
        <v>18</v>
      </c>
      <c r="G35" s="19"/>
      <c r="H35" s="16"/>
      <c r="J35" s="17"/>
      <c r="K35" s="18"/>
    </row>
    <row r="36" ht="29.25" customHeight="1">
      <c r="A36" s="7"/>
      <c r="B36" s="22"/>
      <c r="C36" s="16">
        <v>20.0</v>
      </c>
      <c r="D36" s="16" t="s">
        <v>99</v>
      </c>
      <c r="E36" s="17" t="s">
        <v>17</v>
      </c>
      <c r="F36" s="18" t="s">
        <v>18</v>
      </c>
      <c r="G36" s="19"/>
      <c r="H36" s="16"/>
      <c r="J36" s="17"/>
      <c r="K36" s="18"/>
    </row>
    <row r="37" ht="29.25" customHeight="1">
      <c r="A37" s="7"/>
      <c r="B37" s="22"/>
      <c r="C37" s="16">
        <v>19.0</v>
      </c>
      <c r="D37" s="16" t="s">
        <v>100</v>
      </c>
      <c r="E37" s="17" t="s">
        <v>17</v>
      </c>
      <c r="F37" s="18" t="s">
        <v>18</v>
      </c>
      <c r="G37" s="19"/>
      <c r="H37" s="16"/>
      <c r="J37" s="17"/>
      <c r="K37" s="18"/>
    </row>
    <row r="38" ht="29.25" customHeight="1">
      <c r="A38" s="7"/>
      <c r="B38" s="22"/>
      <c r="C38" s="16">
        <v>22.0</v>
      </c>
      <c r="D38" s="16" t="s">
        <v>101</v>
      </c>
      <c r="E38" s="17" t="s">
        <v>17</v>
      </c>
      <c r="F38" s="18" t="s">
        <v>18</v>
      </c>
      <c r="G38" s="19"/>
      <c r="H38" s="16"/>
      <c r="J38" s="17"/>
      <c r="K38" s="18"/>
    </row>
    <row r="39" ht="29.25" customHeight="1">
      <c r="A39" s="7"/>
      <c r="B39" s="22"/>
      <c r="C39" s="16">
        <v>22.0</v>
      </c>
      <c r="D39" s="16" t="s">
        <v>102</v>
      </c>
      <c r="E39" s="17" t="s">
        <v>17</v>
      </c>
      <c r="F39" s="18" t="s">
        <v>18</v>
      </c>
      <c r="G39" s="19"/>
      <c r="H39" s="16"/>
      <c r="J39" s="17"/>
      <c r="K39" s="18"/>
    </row>
    <row r="40" ht="29.25" customHeight="1">
      <c r="A40" s="7"/>
      <c r="B40" s="22"/>
      <c r="C40" s="16">
        <v>23.0</v>
      </c>
      <c r="D40" s="16" t="s">
        <v>103</v>
      </c>
      <c r="E40" s="17" t="s">
        <v>17</v>
      </c>
      <c r="F40" s="18" t="s">
        <v>18</v>
      </c>
      <c r="G40" s="19"/>
      <c r="H40" s="16"/>
      <c r="J40" s="17"/>
      <c r="K40" s="18"/>
    </row>
    <row r="41" ht="29.25" customHeight="1">
      <c r="A41" s="7"/>
      <c r="B41" s="22"/>
      <c r="C41" s="16">
        <v>24.0</v>
      </c>
      <c r="D41" s="16" t="s">
        <v>104</v>
      </c>
      <c r="E41" s="17" t="s">
        <v>17</v>
      </c>
      <c r="F41" s="18" t="s">
        <v>18</v>
      </c>
      <c r="G41" s="19"/>
      <c r="H41" s="16"/>
      <c r="J41" s="17"/>
      <c r="K41" s="18"/>
    </row>
    <row r="42" ht="29.25" customHeight="1">
      <c r="A42" s="7"/>
      <c r="B42" s="22"/>
      <c r="C42" s="16">
        <v>26.0</v>
      </c>
      <c r="D42" s="16" t="s">
        <v>105</v>
      </c>
      <c r="E42" s="17" t="s">
        <v>17</v>
      </c>
      <c r="F42" s="18" t="s">
        <v>18</v>
      </c>
      <c r="G42" s="19"/>
      <c r="H42" s="16"/>
      <c r="J42" s="17"/>
      <c r="K42" s="18"/>
    </row>
    <row r="43" ht="29.25" customHeight="1">
      <c r="A43" s="7"/>
      <c r="B43" s="22"/>
      <c r="C43" s="16">
        <v>27.0</v>
      </c>
      <c r="D43" s="16" t="s">
        <v>106</v>
      </c>
      <c r="E43" s="17" t="s">
        <v>17</v>
      </c>
      <c r="F43" s="18" t="s">
        <v>18</v>
      </c>
      <c r="G43" s="19"/>
      <c r="H43" s="16"/>
      <c r="J43" s="17"/>
      <c r="K43" s="18"/>
    </row>
    <row r="44" ht="29.25" customHeight="1">
      <c r="A44" s="7"/>
      <c r="B44" s="22"/>
      <c r="C44" s="23">
        <v>27.0</v>
      </c>
      <c r="D44" s="23" t="s">
        <v>107</v>
      </c>
      <c r="E44" s="24" t="s">
        <v>17</v>
      </c>
      <c r="F44" s="25" t="s">
        <v>47</v>
      </c>
      <c r="G44" s="19"/>
      <c r="H44" s="23"/>
      <c r="I44" s="26"/>
      <c r="J44" s="24"/>
      <c r="K44" s="25"/>
    </row>
    <row r="45" ht="45.0" customHeight="1">
      <c r="A45" s="7"/>
      <c r="B45" s="27"/>
      <c r="C45" s="16" t="s">
        <v>11</v>
      </c>
      <c r="D45" s="57">
        <v>36.0</v>
      </c>
      <c r="E45" s="7"/>
      <c r="F45" s="7"/>
      <c r="G45" s="29"/>
      <c r="H45" s="16" t="s">
        <v>11</v>
      </c>
      <c r="I45" s="57">
        <v>9.0</v>
      </c>
      <c r="J45" s="7"/>
      <c r="K45" s="7"/>
    </row>
    <row r="46" ht="22.5" customHeight="1">
      <c r="A46" s="7"/>
      <c r="B46" s="27"/>
      <c r="C46" s="30"/>
      <c r="D46" s="27"/>
      <c r="E46" s="27"/>
      <c r="F46" s="27"/>
      <c r="G46" s="27"/>
      <c r="H46" s="27"/>
      <c r="I46" s="27"/>
      <c r="J46" s="31" t="s">
        <v>12</v>
      </c>
      <c r="K46" s="31"/>
    </row>
    <row r="47" ht="7.5" customHeight="1">
      <c r="A47" s="32"/>
      <c r="B47" s="33"/>
      <c r="C47" s="34"/>
      <c r="D47" s="33"/>
      <c r="E47" s="33"/>
      <c r="F47" s="33"/>
      <c r="G47" s="33"/>
      <c r="H47" s="33"/>
      <c r="I47" s="33"/>
      <c r="J47" s="32"/>
      <c r="K47" s="7"/>
    </row>
    <row r="48" ht="33.75" customHeight="1">
      <c r="A48" s="7"/>
      <c r="B48" s="27"/>
      <c r="C48" s="30"/>
      <c r="D48" s="27"/>
      <c r="E48" s="27"/>
      <c r="F48" s="27"/>
      <c r="G48" s="27"/>
      <c r="H48" s="27"/>
      <c r="I48" s="27"/>
      <c r="J48" s="7"/>
      <c r="K48" s="7"/>
    </row>
    <row r="49" ht="22.5" customHeight="1">
      <c r="A49" s="7"/>
      <c r="B49" s="8"/>
      <c r="C49" s="35" t="s">
        <v>4</v>
      </c>
      <c r="D49" s="35" t="s">
        <v>13</v>
      </c>
      <c r="E49" s="36" t="s">
        <v>2</v>
      </c>
      <c r="F49" s="36" t="s">
        <v>3</v>
      </c>
      <c r="G49" s="37"/>
      <c r="H49" s="37"/>
      <c r="I49" s="38"/>
      <c r="J49" s="37"/>
      <c r="K49" s="37"/>
    </row>
    <row r="50" ht="29.25" customHeight="1">
      <c r="A50" s="7"/>
      <c r="B50" s="39" t="s">
        <v>14</v>
      </c>
      <c r="C50" s="16">
        <v>2.0</v>
      </c>
      <c r="D50" s="16" t="s">
        <v>107</v>
      </c>
      <c r="E50" s="17" t="s">
        <v>17</v>
      </c>
      <c r="F50" s="18" t="s">
        <v>20</v>
      </c>
      <c r="G50" s="17"/>
      <c r="I50" s="40"/>
      <c r="J50" s="41"/>
      <c r="K50" s="41"/>
    </row>
    <row r="51" ht="29.25" customHeight="1">
      <c r="A51" s="7"/>
      <c r="C51" s="16">
        <v>3.0</v>
      </c>
      <c r="D51" s="16" t="s">
        <v>107</v>
      </c>
      <c r="E51" s="17" t="s">
        <v>17</v>
      </c>
      <c r="F51" s="18" t="s">
        <v>20</v>
      </c>
      <c r="G51" s="17"/>
      <c r="H51" s="17"/>
      <c r="I51" s="40"/>
      <c r="J51" s="41"/>
      <c r="K51" s="41"/>
    </row>
    <row r="52" ht="29.25" customHeight="1">
      <c r="A52" s="7"/>
      <c r="C52" s="16">
        <v>10.0</v>
      </c>
      <c r="D52" s="16" t="s">
        <v>108</v>
      </c>
      <c r="E52" s="17" t="s">
        <v>17</v>
      </c>
      <c r="F52" s="18" t="s">
        <v>20</v>
      </c>
      <c r="G52" s="17"/>
      <c r="I52" s="40"/>
      <c r="J52" s="41"/>
      <c r="K52" s="41"/>
    </row>
    <row r="53" ht="29.25" customHeight="1">
      <c r="A53" s="7"/>
      <c r="C53" s="16">
        <v>10.0</v>
      </c>
      <c r="D53" s="16" t="s">
        <v>109</v>
      </c>
      <c r="E53" s="17" t="s">
        <v>17</v>
      </c>
      <c r="F53" s="18" t="s">
        <v>20</v>
      </c>
      <c r="G53" s="17"/>
      <c r="I53" s="40"/>
      <c r="J53" s="41"/>
      <c r="K53" s="41"/>
    </row>
    <row r="54" ht="29.25" customHeight="1">
      <c r="A54" s="7"/>
      <c r="B54" s="20" t="s">
        <v>13</v>
      </c>
      <c r="C54" s="16">
        <v>11.0</v>
      </c>
      <c r="D54" s="16" t="s">
        <v>110</v>
      </c>
      <c r="E54" s="17" t="s">
        <v>17</v>
      </c>
      <c r="F54" s="18" t="s">
        <v>20</v>
      </c>
      <c r="G54" s="17"/>
      <c r="I54" s="40"/>
      <c r="J54" s="41"/>
      <c r="K54" s="41"/>
    </row>
    <row r="55" ht="29.25" customHeight="1">
      <c r="A55" s="7"/>
      <c r="B55" s="58">
        <v>9.0</v>
      </c>
      <c r="C55" s="16">
        <v>14.0</v>
      </c>
      <c r="D55" s="50" t="s">
        <v>111</v>
      </c>
      <c r="E55" s="17" t="s">
        <v>17</v>
      </c>
      <c r="F55" s="18" t="s">
        <v>20</v>
      </c>
      <c r="G55" s="17"/>
      <c r="I55" s="40"/>
      <c r="J55" s="41"/>
      <c r="K55" s="41"/>
    </row>
    <row r="56" ht="29.25" customHeight="1">
      <c r="A56" s="7"/>
      <c r="C56" s="16">
        <v>19.0</v>
      </c>
      <c r="D56" s="50" t="s">
        <v>112</v>
      </c>
      <c r="E56" s="17" t="s">
        <v>17</v>
      </c>
      <c r="F56" s="18" t="s">
        <v>20</v>
      </c>
      <c r="G56" s="17"/>
      <c r="H56" s="17"/>
      <c r="I56" s="40"/>
      <c r="J56" s="41"/>
      <c r="K56" s="41"/>
    </row>
    <row r="57" ht="29.25" customHeight="1">
      <c r="A57" s="7"/>
      <c r="C57" s="16">
        <v>20.0</v>
      </c>
      <c r="D57" s="50" t="s">
        <v>113</v>
      </c>
      <c r="E57" s="17" t="s">
        <v>17</v>
      </c>
      <c r="F57" s="18" t="s">
        <v>20</v>
      </c>
      <c r="G57" s="17"/>
      <c r="I57" s="40"/>
      <c r="J57" s="41"/>
      <c r="K57" s="41"/>
    </row>
    <row r="58" ht="29.25" customHeight="1">
      <c r="A58" s="7"/>
      <c r="B58" s="22"/>
      <c r="C58" s="16">
        <v>27.0</v>
      </c>
      <c r="D58" s="16" t="s">
        <v>114</v>
      </c>
      <c r="E58" s="17" t="s">
        <v>17</v>
      </c>
      <c r="F58" s="18" t="s">
        <v>20</v>
      </c>
      <c r="G58" s="17"/>
      <c r="I58" s="40"/>
      <c r="J58" s="41"/>
      <c r="K58" s="41"/>
    </row>
    <row r="59" ht="45.0" customHeight="1">
      <c r="A59" s="7"/>
      <c r="B59" s="27"/>
      <c r="C59" s="16"/>
      <c r="D59" s="16"/>
      <c r="E59" s="17"/>
      <c r="F59" s="18"/>
      <c r="G59" s="17"/>
      <c r="H59" s="17"/>
      <c r="I59" s="40"/>
      <c r="J59" s="41"/>
      <c r="K59" s="41"/>
    </row>
    <row r="60" ht="45.0" customHeight="1">
      <c r="A60" s="7"/>
      <c r="B60" s="27"/>
      <c r="C60" s="23"/>
      <c r="D60" s="23" t="s">
        <v>115</v>
      </c>
      <c r="E60" s="24"/>
      <c r="F60" s="25"/>
      <c r="G60" s="17"/>
      <c r="I60" s="40"/>
      <c r="J60" s="41"/>
      <c r="K60" s="41"/>
    </row>
    <row r="61" ht="22.5" customHeight="1">
      <c r="A61" s="7"/>
      <c r="B61" s="27"/>
      <c r="C61" s="16" t="s">
        <v>11</v>
      </c>
      <c r="D61" s="57">
        <v>9.0</v>
      </c>
      <c r="E61" s="7"/>
      <c r="F61" s="7"/>
      <c r="G61" s="7"/>
      <c r="H61" s="40"/>
      <c r="I61" s="42"/>
      <c r="J61" s="43"/>
      <c r="K61" s="43"/>
    </row>
    <row r="62" ht="7.5" customHeight="1">
      <c r="A62" s="32"/>
      <c r="B62" s="33"/>
      <c r="C62" s="34"/>
      <c r="D62" s="33"/>
      <c r="E62" s="33"/>
      <c r="F62" s="33"/>
      <c r="G62" s="33"/>
      <c r="H62" s="33"/>
      <c r="I62" s="33"/>
      <c r="J62" s="32"/>
      <c r="K62" s="7"/>
    </row>
    <row r="63" ht="33.75" customHeight="1">
      <c r="A63" s="7"/>
      <c r="B63" s="27"/>
      <c r="C63" s="30"/>
      <c r="D63" s="27"/>
      <c r="E63" s="27"/>
      <c r="F63" s="27"/>
      <c r="G63" s="27"/>
      <c r="H63" s="27"/>
      <c r="I63" s="27"/>
      <c r="J63" s="7"/>
      <c r="K63" s="7"/>
    </row>
    <row r="64" ht="22.5" customHeight="1">
      <c r="A64" s="44" t="s">
        <v>15</v>
      </c>
      <c r="K64" s="44"/>
    </row>
    <row r="65" ht="22.5" customHeight="1">
      <c r="A65" s="7"/>
      <c r="B65" s="27"/>
      <c r="C65" s="30"/>
      <c r="D65" s="27"/>
      <c r="E65" s="27"/>
      <c r="F65" s="27"/>
      <c r="G65" s="27"/>
      <c r="H65" s="27"/>
      <c r="I65" s="27"/>
      <c r="J65" s="7"/>
      <c r="K65" s="7"/>
    </row>
    <row r="66" ht="22.5" customHeight="1">
      <c r="A66" s="7"/>
      <c r="B66" s="27"/>
      <c r="C66" s="30"/>
      <c r="D66" s="45"/>
      <c r="E66" s="46"/>
      <c r="F66" s="46"/>
      <c r="G66" s="12"/>
      <c r="H66" s="45"/>
      <c r="I66" s="46"/>
      <c r="J66" s="7"/>
      <c r="K66" s="7"/>
    </row>
  </sheetData>
  <mergeCells count="52">
    <mergeCell ref="G57:H57"/>
    <mergeCell ref="G58:H58"/>
    <mergeCell ref="G60:H60"/>
    <mergeCell ref="A64:J64"/>
    <mergeCell ref="H43:I43"/>
    <mergeCell ref="H44:I44"/>
    <mergeCell ref="G50:H50"/>
    <mergeCell ref="G52:H52"/>
    <mergeCell ref="G53:H53"/>
    <mergeCell ref="G54:H54"/>
    <mergeCell ref="G55:H55"/>
    <mergeCell ref="H13:I13"/>
    <mergeCell ref="H14:I14"/>
    <mergeCell ref="B15:B16"/>
    <mergeCell ref="B17:B18"/>
    <mergeCell ref="B50:B53"/>
    <mergeCell ref="B55:B57"/>
    <mergeCell ref="B4:H4"/>
    <mergeCell ref="B9:B11"/>
    <mergeCell ref="H9:I9"/>
    <mergeCell ref="H10:I10"/>
    <mergeCell ref="H11:I11"/>
    <mergeCell ref="B13:B14"/>
    <mergeCell ref="H16:I16"/>
    <mergeCell ref="H12:I12"/>
    <mergeCell ref="H15:I15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</mergeCells>
  <conditionalFormatting sqref="B1:B63 B65:B66">
    <cfRule type="expression" dxfId="0" priority="1">
      <formula>AND(($B:$B)=max($B:$B), ISNUMBER($B:$B))</formula>
    </cfRule>
  </conditionalFormatting>
  <dataValidations>
    <dataValidation type="list" allowBlank="1" showErrorMessage="1" sqref="F9:F44">
      <formula1>"VISTORIA,ASSINATURA,APÓLICE,ARQUIVOS,AGENDA,RENOVADO,NÃO RENOVADO,CONCLUÍDA,PAGAMENTOS"</formula1>
    </dataValidation>
    <dataValidation type="list" allowBlank="1" showErrorMessage="1" sqref="F50:F60">
      <formula1>"VISTORIA,ASSINATURA,APÓLICE,ARQUIVOS,AGENDA,CONCLUÍDO,PAGAMENTOS"</formula1>
    </dataValidation>
    <dataValidation type="list" allowBlank="1" showErrorMessage="1" sqref="E9:E44 J9:J44 E50:E60">
      <formula1>"EM COTAÇÃO,EM ANÁLISE,CONCLUÍDA"</formula1>
    </dataValidation>
    <dataValidation type="list" allowBlank="1" showErrorMessage="1" sqref="K9:K44">
      <formula1>"VISTORIA,ASSINATURA,APÓLICE,ARQUIVOS,AGENDA,CONCLUÍDO,PAGAMENTOS"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6.38"/>
    <col customWidth="1" min="3" max="3" width="5.25"/>
    <col customWidth="1" min="4" max="4" width="28.63"/>
    <col customWidth="1" min="5" max="5" width="16.13"/>
    <col customWidth="1" min="6" max="6" width="14.5"/>
    <col customWidth="1" min="7" max="7" width="2.63"/>
    <col customWidth="1" min="8" max="8" width="6.13"/>
    <col customWidth="1" min="9" max="9" width="19.38"/>
    <col customWidth="1" min="10" max="10" width="19.75"/>
    <col customWidth="1" min="11" max="11" width="12.2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/>
      <c r="B4" s="5" t="s">
        <v>0</v>
      </c>
      <c r="I4" s="6"/>
      <c r="J4" s="6"/>
      <c r="K4" s="6"/>
    </row>
    <row r="5" ht="22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22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2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2.5" customHeight="1">
      <c r="A8" s="7"/>
      <c r="B8" s="8"/>
      <c r="C8" s="9"/>
      <c r="D8" s="10" t="s">
        <v>1</v>
      </c>
      <c r="E8" s="11" t="s">
        <v>2</v>
      </c>
      <c r="F8" s="11" t="s">
        <v>3</v>
      </c>
      <c r="G8" s="12"/>
      <c r="H8" s="13" t="s">
        <v>4</v>
      </c>
      <c r="I8" s="13" t="s">
        <v>5</v>
      </c>
      <c r="J8" s="14" t="s">
        <v>2</v>
      </c>
      <c r="K8" s="14" t="s">
        <v>3</v>
      </c>
    </row>
    <row r="9" ht="29.25" customHeight="1">
      <c r="A9" s="7"/>
      <c r="B9" s="15" t="s">
        <v>6</v>
      </c>
      <c r="C9" s="16" t="s">
        <v>116</v>
      </c>
      <c r="E9" s="17" t="s">
        <v>17</v>
      </c>
      <c r="F9" s="18" t="s">
        <v>20</v>
      </c>
      <c r="G9" s="19"/>
      <c r="H9" s="60">
        <v>1.0</v>
      </c>
      <c r="I9" s="16" t="s">
        <v>117</v>
      </c>
      <c r="J9" s="17" t="s">
        <v>17</v>
      </c>
      <c r="K9" s="18" t="s">
        <v>18</v>
      </c>
    </row>
    <row r="10" ht="29.25" customHeight="1">
      <c r="A10" s="7"/>
      <c r="C10" s="49" t="s">
        <v>118</v>
      </c>
      <c r="E10" s="17" t="s">
        <v>17</v>
      </c>
      <c r="F10" s="18" t="s">
        <v>20</v>
      </c>
      <c r="G10" s="19"/>
      <c r="H10" s="60">
        <v>1.0</v>
      </c>
      <c r="I10" s="16" t="s">
        <v>119</v>
      </c>
      <c r="J10" s="17" t="s">
        <v>17</v>
      </c>
      <c r="K10" s="18" t="s">
        <v>18</v>
      </c>
    </row>
    <row r="11" ht="29.25" customHeight="1">
      <c r="A11" s="7"/>
      <c r="C11" s="16" t="s">
        <v>120</v>
      </c>
      <c r="E11" s="17" t="s">
        <v>17</v>
      </c>
      <c r="F11" s="18" t="s">
        <v>20</v>
      </c>
      <c r="G11" s="19"/>
      <c r="H11" s="60">
        <v>3.0</v>
      </c>
      <c r="I11" s="16" t="s">
        <v>121</v>
      </c>
      <c r="J11" s="17" t="s">
        <v>17</v>
      </c>
      <c r="K11" s="18" t="s">
        <v>18</v>
      </c>
    </row>
    <row r="12" ht="29.25" customHeight="1">
      <c r="A12" s="7"/>
      <c r="B12" s="20" t="s">
        <v>7</v>
      </c>
      <c r="C12" s="16" t="s">
        <v>122</v>
      </c>
      <c r="E12" s="17" t="s">
        <v>17</v>
      </c>
      <c r="F12" s="18" t="s">
        <v>20</v>
      </c>
      <c r="G12" s="19"/>
      <c r="H12" s="60">
        <v>3.0</v>
      </c>
      <c r="I12" s="16" t="s">
        <v>123</v>
      </c>
      <c r="J12" s="17" t="s">
        <v>17</v>
      </c>
      <c r="K12" s="18" t="s">
        <v>18</v>
      </c>
    </row>
    <row r="13" ht="29.25" customHeight="1">
      <c r="A13" s="7"/>
      <c r="B13" s="21" t="s">
        <v>8</v>
      </c>
      <c r="C13" s="61" t="s">
        <v>124</v>
      </c>
      <c r="E13" s="17" t="s">
        <v>125</v>
      </c>
      <c r="F13" s="18" t="s">
        <v>126</v>
      </c>
      <c r="G13" s="19"/>
      <c r="H13" s="60">
        <v>4.0</v>
      </c>
      <c r="I13" s="16" t="s">
        <v>127</v>
      </c>
      <c r="J13" s="17" t="s">
        <v>17</v>
      </c>
      <c r="K13" s="18" t="s">
        <v>18</v>
      </c>
    </row>
    <row r="14" ht="29.25" customHeight="1">
      <c r="A14" s="7"/>
      <c r="C14" s="49" t="s">
        <v>128</v>
      </c>
      <c r="E14" s="17" t="s">
        <v>17</v>
      </c>
      <c r="F14" s="18" t="s">
        <v>20</v>
      </c>
      <c r="G14" s="19"/>
      <c r="H14" s="60">
        <v>4.0</v>
      </c>
      <c r="I14" s="16" t="s">
        <v>129</v>
      </c>
      <c r="J14" s="17" t="s">
        <v>17</v>
      </c>
      <c r="K14" s="18" t="s">
        <v>18</v>
      </c>
    </row>
    <row r="15" ht="29.25" customHeight="1">
      <c r="A15" s="7"/>
      <c r="B15" s="21" t="s">
        <v>9</v>
      </c>
      <c r="C15" s="16" t="s">
        <v>130</v>
      </c>
      <c r="E15" s="17" t="s">
        <v>17</v>
      </c>
      <c r="F15" s="18" t="s">
        <v>20</v>
      </c>
      <c r="G15" s="19"/>
      <c r="H15" s="60">
        <v>5.0</v>
      </c>
      <c r="I15" s="16" t="s">
        <v>131</v>
      </c>
      <c r="J15" s="17" t="s">
        <v>17</v>
      </c>
      <c r="K15" s="18" t="s">
        <v>18</v>
      </c>
    </row>
    <row r="16" ht="29.25" customHeight="1">
      <c r="A16" s="7"/>
      <c r="C16" s="16" t="s">
        <v>41</v>
      </c>
      <c r="E16" s="17" t="s">
        <v>17</v>
      </c>
      <c r="F16" s="18" t="s">
        <v>20</v>
      </c>
      <c r="G16" s="19"/>
      <c r="H16" s="60">
        <v>6.0</v>
      </c>
      <c r="I16" s="16" t="s">
        <v>132</v>
      </c>
      <c r="J16" s="17" t="s">
        <v>17</v>
      </c>
      <c r="K16" s="18" t="s">
        <v>18</v>
      </c>
    </row>
    <row r="17" ht="29.25" customHeight="1">
      <c r="A17" s="7"/>
      <c r="B17" s="21" t="s">
        <v>10</v>
      </c>
      <c r="C17" s="49" t="s">
        <v>133</v>
      </c>
      <c r="E17" s="17" t="s">
        <v>17</v>
      </c>
      <c r="F17" s="18" t="s">
        <v>20</v>
      </c>
      <c r="G17" s="19"/>
      <c r="H17" s="60">
        <v>6.0</v>
      </c>
      <c r="I17" s="16" t="s">
        <v>134</v>
      </c>
      <c r="J17" s="17" t="s">
        <v>17</v>
      </c>
      <c r="K17" s="18" t="s">
        <v>18</v>
      </c>
    </row>
    <row r="18" ht="29.25" customHeight="1">
      <c r="A18" s="7"/>
      <c r="C18" s="16" t="s">
        <v>135</v>
      </c>
      <c r="E18" s="17" t="s">
        <v>17</v>
      </c>
      <c r="F18" s="18" t="s">
        <v>20</v>
      </c>
      <c r="G18" s="19"/>
      <c r="H18" s="60">
        <v>6.0</v>
      </c>
      <c r="I18" s="16" t="s">
        <v>136</v>
      </c>
      <c r="J18" s="17" t="s">
        <v>17</v>
      </c>
      <c r="K18" s="18" t="s">
        <v>18</v>
      </c>
    </row>
    <row r="19" ht="29.25" customHeight="1">
      <c r="A19" s="7"/>
      <c r="B19" s="22"/>
      <c r="C19" s="16" t="s">
        <v>137</v>
      </c>
      <c r="E19" s="17" t="s">
        <v>125</v>
      </c>
      <c r="F19" s="18" t="s">
        <v>138</v>
      </c>
      <c r="G19" s="19"/>
      <c r="H19" s="60">
        <v>6.0</v>
      </c>
      <c r="I19" s="16" t="s">
        <v>139</v>
      </c>
      <c r="J19" s="17" t="s">
        <v>17</v>
      </c>
      <c r="K19" s="18" t="s">
        <v>18</v>
      </c>
    </row>
    <row r="20" ht="29.25" customHeight="1">
      <c r="A20" s="7"/>
      <c r="B20" s="22"/>
      <c r="C20" s="16" t="s">
        <v>140</v>
      </c>
      <c r="E20" s="17" t="s">
        <v>17</v>
      </c>
      <c r="F20" s="18" t="s">
        <v>20</v>
      </c>
      <c r="G20" s="19"/>
      <c r="H20" s="60">
        <v>11.0</v>
      </c>
      <c r="I20" s="16" t="s">
        <v>60</v>
      </c>
      <c r="J20" s="17" t="s">
        <v>17</v>
      </c>
      <c r="K20" s="18" t="s">
        <v>18</v>
      </c>
    </row>
    <row r="21" ht="29.25" customHeight="1">
      <c r="A21" s="7"/>
      <c r="B21" s="22"/>
      <c r="C21" s="62" t="s">
        <v>141</v>
      </c>
      <c r="E21" s="17" t="s">
        <v>125</v>
      </c>
      <c r="F21" s="18" t="s">
        <v>142</v>
      </c>
      <c r="G21" s="19"/>
      <c r="H21" s="60">
        <v>11.0</v>
      </c>
      <c r="I21" s="16" t="s">
        <v>143</v>
      </c>
      <c r="J21" s="17" t="s">
        <v>17</v>
      </c>
      <c r="K21" s="18" t="s">
        <v>18</v>
      </c>
    </row>
    <row r="22" ht="29.25" customHeight="1">
      <c r="A22" s="7"/>
      <c r="B22" s="16"/>
      <c r="C22" s="16" t="s">
        <v>144</v>
      </c>
      <c r="E22" s="17" t="s">
        <v>125</v>
      </c>
      <c r="F22" s="18" t="s">
        <v>126</v>
      </c>
      <c r="G22" s="19"/>
      <c r="H22" s="60">
        <v>11.0</v>
      </c>
      <c r="I22" s="56" t="s">
        <v>145</v>
      </c>
      <c r="J22" s="17" t="s">
        <v>17</v>
      </c>
      <c r="K22" s="18" t="s">
        <v>18</v>
      </c>
    </row>
    <row r="23" ht="29.25" customHeight="1">
      <c r="A23" s="7"/>
      <c r="B23" s="22"/>
      <c r="C23" s="16"/>
      <c r="E23" s="17"/>
      <c r="F23" s="18"/>
      <c r="G23" s="19"/>
      <c r="H23" s="60">
        <v>11.0</v>
      </c>
      <c r="I23" s="49" t="s">
        <v>146</v>
      </c>
      <c r="J23" s="17" t="s">
        <v>17</v>
      </c>
      <c r="K23" s="18" t="s">
        <v>47</v>
      </c>
    </row>
    <row r="24" ht="29.25" customHeight="1">
      <c r="A24" s="7"/>
      <c r="B24" s="22"/>
      <c r="C24" s="16" t="s">
        <v>147</v>
      </c>
      <c r="E24" s="17" t="s">
        <v>148</v>
      </c>
      <c r="F24" s="18"/>
      <c r="G24" s="19"/>
      <c r="H24" s="60">
        <v>13.0</v>
      </c>
      <c r="I24" s="16" t="s">
        <v>149</v>
      </c>
      <c r="J24" s="17" t="s">
        <v>17</v>
      </c>
      <c r="K24" s="18" t="s">
        <v>18</v>
      </c>
    </row>
    <row r="25" ht="29.25" customHeight="1">
      <c r="A25" s="7"/>
      <c r="B25" s="22"/>
      <c r="C25" s="62" t="s">
        <v>150</v>
      </c>
      <c r="E25" s="17" t="s">
        <v>148</v>
      </c>
      <c r="F25" s="18"/>
      <c r="G25" s="19"/>
      <c r="H25" s="60">
        <v>14.0</v>
      </c>
      <c r="I25" s="16" t="s">
        <v>151</v>
      </c>
      <c r="J25" s="17" t="s">
        <v>17</v>
      </c>
      <c r="K25" s="18" t="s">
        <v>18</v>
      </c>
    </row>
    <row r="26" ht="29.25" customHeight="1">
      <c r="A26" s="7"/>
      <c r="B26" s="22"/>
      <c r="C26" s="16" t="s">
        <v>152</v>
      </c>
      <c r="E26" s="17" t="s">
        <v>148</v>
      </c>
      <c r="F26" s="18"/>
      <c r="G26" s="19"/>
      <c r="H26" s="60">
        <v>14.0</v>
      </c>
      <c r="I26" s="16" t="s">
        <v>153</v>
      </c>
      <c r="J26" s="17" t="s">
        <v>17</v>
      </c>
      <c r="K26" s="18" t="s">
        <v>18</v>
      </c>
    </row>
    <row r="27" ht="29.25" customHeight="1">
      <c r="A27" s="7"/>
      <c r="B27" s="22"/>
      <c r="C27" s="16" t="s">
        <v>154</v>
      </c>
      <c r="E27" s="17" t="s">
        <v>148</v>
      </c>
      <c r="F27" s="18"/>
      <c r="G27" s="19"/>
      <c r="H27" s="60">
        <v>14.0</v>
      </c>
      <c r="I27" s="16" t="s">
        <v>155</v>
      </c>
      <c r="J27" s="17" t="s">
        <v>17</v>
      </c>
      <c r="K27" s="18" t="s">
        <v>18</v>
      </c>
    </row>
    <row r="28" ht="29.25" customHeight="1">
      <c r="A28" s="7"/>
      <c r="B28" s="22"/>
      <c r="C28" s="62" t="s">
        <v>156</v>
      </c>
      <c r="E28" s="17" t="s">
        <v>148</v>
      </c>
      <c r="F28" s="18"/>
      <c r="G28" s="19"/>
      <c r="H28" s="60">
        <v>15.0</v>
      </c>
      <c r="I28" s="16" t="s">
        <v>157</v>
      </c>
      <c r="J28" s="17" t="s">
        <v>17</v>
      </c>
      <c r="K28" s="18" t="s">
        <v>18</v>
      </c>
    </row>
    <row r="29" ht="29.25" customHeight="1">
      <c r="A29" s="7"/>
      <c r="B29" s="22"/>
      <c r="C29" s="16" t="s">
        <v>112</v>
      </c>
      <c r="E29" s="17" t="s">
        <v>148</v>
      </c>
      <c r="F29" s="18"/>
      <c r="G29" s="19"/>
      <c r="H29" s="60">
        <v>15.0</v>
      </c>
      <c r="I29" s="16" t="s">
        <v>76</v>
      </c>
      <c r="J29" s="17" t="s">
        <v>17</v>
      </c>
      <c r="K29" s="18" t="s">
        <v>18</v>
      </c>
    </row>
    <row r="30" ht="29.25" customHeight="1">
      <c r="A30" s="7"/>
      <c r="B30" s="22"/>
      <c r="C30" s="16" t="s">
        <v>158</v>
      </c>
      <c r="E30" s="17" t="s">
        <v>148</v>
      </c>
      <c r="F30" s="63"/>
      <c r="G30" s="19"/>
      <c r="H30" s="60">
        <v>15.0</v>
      </c>
      <c r="I30" s="16" t="s">
        <v>159</v>
      </c>
      <c r="J30" s="17" t="s">
        <v>17</v>
      </c>
      <c r="K30" s="18" t="s">
        <v>18</v>
      </c>
    </row>
    <row r="31" ht="29.25" customHeight="1">
      <c r="A31" s="7"/>
      <c r="B31" s="22"/>
      <c r="C31" s="16" t="s">
        <v>160</v>
      </c>
      <c r="E31" s="17" t="s">
        <v>148</v>
      </c>
      <c r="F31" s="18"/>
      <c r="G31" s="19"/>
      <c r="H31" s="60">
        <v>16.0</v>
      </c>
      <c r="I31" s="16" t="s">
        <v>161</v>
      </c>
      <c r="J31" s="17" t="s">
        <v>17</v>
      </c>
      <c r="K31" s="18" t="s">
        <v>18</v>
      </c>
    </row>
    <row r="32" ht="29.25" customHeight="1">
      <c r="A32" s="7"/>
      <c r="B32" s="22"/>
      <c r="C32" s="50" t="s">
        <v>162</v>
      </c>
      <c r="E32" s="17" t="s">
        <v>148</v>
      </c>
      <c r="F32" s="18"/>
      <c r="G32" s="19"/>
      <c r="H32" s="60">
        <v>16.0</v>
      </c>
      <c r="I32" s="16" t="s">
        <v>163</v>
      </c>
      <c r="J32" s="17" t="s">
        <v>17</v>
      </c>
      <c r="K32" s="18" t="s">
        <v>18</v>
      </c>
    </row>
    <row r="33" ht="29.25" customHeight="1">
      <c r="A33" s="7"/>
      <c r="B33" s="22"/>
      <c r="C33" s="16" t="s">
        <v>164</v>
      </c>
      <c r="E33" s="17" t="s">
        <v>148</v>
      </c>
      <c r="F33" s="18"/>
      <c r="G33" s="19"/>
      <c r="H33" s="60">
        <v>16.0</v>
      </c>
      <c r="I33" s="16" t="s">
        <v>165</v>
      </c>
      <c r="J33" s="17" t="s">
        <v>17</v>
      </c>
      <c r="K33" s="18" t="s">
        <v>18</v>
      </c>
    </row>
    <row r="34" ht="29.25" customHeight="1">
      <c r="A34" s="7"/>
      <c r="B34" s="22"/>
      <c r="C34" s="16" t="s">
        <v>166</v>
      </c>
      <c r="E34" s="17" t="s">
        <v>148</v>
      </c>
      <c r="F34" s="18"/>
      <c r="G34" s="19"/>
      <c r="H34" s="60">
        <v>19.0</v>
      </c>
      <c r="I34" s="16" t="s">
        <v>167</v>
      </c>
      <c r="J34" s="17" t="s">
        <v>17</v>
      </c>
      <c r="K34" s="18" t="s">
        <v>18</v>
      </c>
    </row>
    <row r="35" ht="29.25" customHeight="1">
      <c r="A35" s="7"/>
      <c r="B35" s="22"/>
      <c r="C35" s="16" t="s">
        <v>168</v>
      </c>
      <c r="E35" s="17" t="s">
        <v>148</v>
      </c>
      <c r="F35" s="18"/>
      <c r="G35" s="19"/>
      <c r="H35" s="60">
        <v>21.0</v>
      </c>
      <c r="I35" s="16" t="s">
        <v>169</v>
      </c>
      <c r="J35" s="17" t="s">
        <v>17</v>
      </c>
      <c r="K35" s="18" t="s">
        <v>47</v>
      </c>
    </row>
    <row r="36" ht="29.25" customHeight="1">
      <c r="A36" s="7"/>
      <c r="B36" s="22"/>
      <c r="C36" s="16"/>
      <c r="E36" s="17"/>
      <c r="F36" s="18"/>
      <c r="G36" s="19"/>
      <c r="H36" s="60">
        <v>21.0</v>
      </c>
      <c r="I36" s="16" t="s">
        <v>170</v>
      </c>
      <c r="J36" s="17" t="s">
        <v>17</v>
      </c>
      <c r="K36" s="18" t="s">
        <v>18</v>
      </c>
    </row>
    <row r="37" ht="29.25" customHeight="1">
      <c r="A37" s="7"/>
      <c r="B37" s="22"/>
      <c r="C37" s="16"/>
      <c r="E37" s="17"/>
      <c r="F37" s="18"/>
      <c r="G37" s="19"/>
      <c r="H37" s="60">
        <v>24.0</v>
      </c>
      <c r="I37" s="16" t="s">
        <v>27</v>
      </c>
      <c r="J37" s="17" t="s">
        <v>17</v>
      </c>
      <c r="K37" s="18" t="s">
        <v>18</v>
      </c>
    </row>
    <row r="38" ht="29.25" customHeight="1">
      <c r="A38" s="7"/>
      <c r="B38" s="22"/>
      <c r="C38" s="16"/>
      <c r="E38" s="17"/>
      <c r="F38" s="18"/>
      <c r="G38" s="19"/>
      <c r="H38" s="60">
        <v>26.0</v>
      </c>
      <c r="I38" s="16" t="s">
        <v>152</v>
      </c>
      <c r="J38" s="17" t="s">
        <v>17</v>
      </c>
      <c r="K38" s="18" t="s">
        <v>18</v>
      </c>
    </row>
    <row r="39" ht="29.25" customHeight="1">
      <c r="A39" s="7"/>
      <c r="B39" s="22"/>
      <c r="C39" s="16"/>
      <c r="E39" s="17"/>
      <c r="F39" s="18"/>
      <c r="G39" s="19"/>
      <c r="H39" s="60">
        <v>26.0</v>
      </c>
      <c r="I39" s="16" t="s">
        <v>171</v>
      </c>
      <c r="J39" s="17" t="s">
        <v>125</v>
      </c>
      <c r="K39" s="18" t="s">
        <v>138</v>
      </c>
    </row>
    <row r="40" ht="29.25" customHeight="1">
      <c r="A40" s="7"/>
      <c r="B40" s="22"/>
      <c r="C40" s="16"/>
      <c r="E40" s="17"/>
      <c r="F40" s="18"/>
      <c r="G40" s="19"/>
      <c r="H40" s="60">
        <v>26.0</v>
      </c>
      <c r="I40" s="16" t="s">
        <v>172</v>
      </c>
      <c r="J40" s="17" t="s">
        <v>17</v>
      </c>
      <c r="K40" s="18" t="s">
        <v>18</v>
      </c>
    </row>
    <row r="41" ht="29.25" customHeight="1">
      <c r="A41" s="7"/>
      <c r="B41" s="22"/>
      <c r="C41" s="16"/>
      <c r="E41" s="17"/>
      <c r="F41" s="18"/>
      <c r="G41" s="19"/>
      <c r="H41" s="60">
        <v>27.0</v>
      </c>
      <c r="I41" s="16" t="s">
        <v>173</v>
      </c>
      <c r="J41" s="17" t="s">
        <v>125</v>
      </c>
      <c r="K41" s="18" t="s">
        <v>174</v>
      </c>
    </row>
    <row r="42" ht="29.25" customHeight="1">
      <c r="A42" s="7"/>
      <c r="B42" s="22"/>
      <c r="C42" s="16"/>
      <c r="E42" s="17"/>
      <c r="F42" s="18"/>
      <c r="G42" s="19"/>
      <c r="H42" s="60">
        <v>27.0</v>
      </c>
      <c r="I42" s="16" t="s">
        <v>175</v>
      </c>
      <c r="J42" s="17" t="s">
        <v>17</v>
      </c>
      <c r="K42" s="18" t="s">
        <v>18</v>
      </c>
    </row>
    <row r="43" ht="29.25" customHeight="1">
      <c r="A43" s="7"/>
      <c r="B43" s="22"/>
      <c r="C43" s="16"/>
      <c r="E43" s="17"/>
      <c r="F43" s="18"/>
      <c r="G43" s="19"/>
      <c r="H43" s="60">
        <v>27.0</v>
      </c>
      <c r="I43" s="16" t="s">
        <v>176</v>
      </c>
      <c r="J43" s="17" t="s">
        <v>125</v>
      </c>
      <c r="K43" s="18" t="s">
        <v>177</v>
      </c>
    </row>
    <row r="44" ht="29.25" customHeight="1">
      <c r="A44" s="7"/>
      <c r="B44" s="22"/>
      <c r="C44" s="16"/>
      <c r="E44" s="17"/>
      <c r="F44" s="18"/>
      <c r="G44" s="19"/>
      <c r="H44" s="60">
        <v>28.0</v>
      </c>
      <c r="I44" s="16" t="s">
        <v>178</v>
      </c>
      <c r="J44" s="17" t="s">
        <v>17</v>
      </c>
      <c r="K44" s="18" t="s">
        <v>18</v>
      </c>
    </row>
    <row r="45" ht="29.25" customHeight="1">
      <c r="A45" s="7"/>
      <c r="B45" s="22"/>
      <c r="C45" s="16"/>
      <c r="E45" s="17"/>
      <c r="F45" s="18"/>
      <c r="G45" s="19"/>
      <c r="H45" s="60">
        <v>29.0</v>
      </c>
      <c r="I45" s="16" t="s">
        <v>179</v>
      </c>
      <c r="J45" s="17" t="s">
        <v>125</v>
      </c>
      <c r="K45" s="18" t="s">
        <v>126</v>
      </c>
    </row>
    <row r="46" ht="29.25" customHeight="1">
      <c r="A46" s="7"/>
      <c r="B46" s="22"/>
      <c r="C46" s="16"/>
      <c r="E46" s="17"/>
      <c r="F46" s="18"/>
      <c r="G46" s="19"/>
      <c r="H46" s="60">
        <v>30.0</v>
      </c>
      <c r="I46" s="16" t="s">
        <v>180</v>
      </c>
      <c r="J46" s="17" t="s">
        <v>17</v>
      </c>
      <c r="K46" s="18" t="s">
        <v>18</v>
      </c>
    </row>
    <row r="47" ht="29.25" customHeight="1">
      <c r="A47" s="7"/>
      <c r="B47" s="22"/>
      <c r="C47" s="16"/>
      <c r="E47" s="17"/>
      <c r="F47" s="18"/>
      <c r="G47" s="19"/>
      <c r="H47" s="60">
        <v>31.0</v>
      </c>
      <c r="I47" s="16" t="s">
        <v>181</v>
      </c>
      <c r="J47" s="17" t="s">
        <v>148</v>
      </c>
      <c r="K47" s="18"/>
    </row>
    <row r="48" ht="29.25" customHeight="1">
      <c r="A48" s="7"/>
      <c r="B48" s="22"/>
      <c r="C48" s="16"/>
      <c r="E48" s="17"/>
      <c r="F48" s="18"/>
      <c r="G48" s="19"/>
      <c r="H48" s="60"/>
      <c r="I48" s="16"/>
      <c r="J48" s="17"/>
      <c r="K48" s="18"/>
    </row>
    <row r="49" ht="29.25" customHeight="1">
      <c r="A49" s="7"/>
      <c r="B49" s="22"/>
      <c r="C49" s="23"/>
      <c r="D49" s="26"/>
      <c r="E49" s="24"/>
      <c r="F49" s="25"/>
      <c r="G49" s="19"/>
      <c r="H49" s="64"/>
      <c r="I49" s="23"/>
      <c r="J49" s="24"/>
      <c r="K49" s="25"/>
    </row>
    <row r="50" ht="45.0" customHeight="1">
      <c r="A50" s="7"/>
      <c r="B50" s="27"/>
      <c r="C50" s="16" t="s">
        <v>11</v>
      </c>
      <c r="D50" s="57"/>
      <c r="E50" s="7"/>
      <c r="F50" s="7"/>
      <c r="G50" s="29"/>
      <c r="H50" s="16" t="s">
        <v>11</v>
      </c>
      <c r="I50" s="57">
        <v>39.0</v>
      </c>
      <c r="J50" s="7"/>
      <c r="K50" s="7"/>
    </row>
    <row r="51" ht="22.5" customHeight="1">
      <c r="A51" s="7"/>
      <c r="B51" s="27"/>
      <c r="C51" s="30"/>
      <c r="D51" s="27"/>
      <c r="E51" s="27"/>
      <c r="F51" s="27"/>
      <c r="G51" s="27"/>
      <c r="H51" s="27"/>
      <c r="I51" s="27"/>
      <c r="J51" s="31" t="s">
        <v>12</v>
      </c>
      <c r="K51" s="31"/>
    </row>
    <row r="52" ht="7.5" customHeight="1">
      <c r="A52" s="32"/>
      <c r="B52" s="33"/>
      <c r="C52" s="34"/>
      <c r="D52" s="33"/>
      <c r="E52" s="33"/>
      <c r="F52" s="33"/>
      <c r="G52" s="33"/>
      <c r="H52" s="33"/>
      <c r="I52" s="33"/>
      <c r="J52" s="32"/>
      <c r="K52" s="7"/>
    </row>
    <row r="53" ht="33.75" customHeight="1">
      <c r="A53" s="7"/>
      <c r="B53" s="27"/>
      <c r="C53" s="30"/>
      <c r="D53" s="27"/>
      <c r="E53" s="27"/>
      <c r="F53" s="27"/>
      <c r="G53" s="27"/>
      <c r="H53" s="27"/>
      <c r="I53" s="27"/>
      <c r="J53" s="7"/>
      <c r="K53" s="7"/>
    </row>
    <row r="54" ht="22.5" customHeight="1">
      <c r="A54" s="7"/>
      <c r="B54" s="8"/>
      <c r="C54" s="35" t="s">
        <v>4</v>
      </c>
      <c r="D54" s="35" t="s">
        <v>13</v>
      </c>
      <c r="E54" s="36" t="s">
        <v>2</v>
      </c>
      <c r="F54" s="36" t="s">
        <v>3</v>
      </c>
      <c r="G54" s="37"/>
      <c r="H54" s="37"/>
      <c r="I54" s="38"/>
      <c r="J54" s="37"/>
      <c r="K54" s="37"/>
    </row>
    <row r="55" ht="29.25" customHeight="1">
      <c r="A55" s="7"/>
      <c r="B55" s="39" t="s">
        <v>14</v>
      </c>
      <c r="C55" s="16"/>
      <c r="D55" s="16" t="s">
        <v>182</v>
      </c>
      <c r="E55" s="17" t="s">
        <v>148</v>
      </c>
      <c r="F55" s="18"/>
      <c r="G55" s="17"/>
      <c r="I55" s="40"/>
      <c r="J55" s="41"/>
      <c r="K55" s="41"/>
    </row>
    <row r="56" ht="29.25" customHeight="1">
      <c r="A56" s="7"/>
      <c r="C56" s="16">
        <v>6.0</v>
      </c>
      <c r="D56" s="16" t="s">
        <v>144</v>
      </c>
      <c r="E56" s="17" t="s">
        <v>17</v>
      </c>
      <c r="F56" s="18" t="s">
        <v>20</v>
      </c>
      <c r="G56" s="17"/>
      <c r="I56" s="40"/>
      <c r="J56" s="41"/>
      <c r="K56" s="41"/>
    </row>
    <row r="57" ht="29.25" customHeight="1">
      <c r="A57" s="7"/>
      <c r="B57" s="20" t="s">
        <v>13</v>
      </c>
      <c r="C57" s="16">
        <v>16.0</v>
      </c>
      <c r="D57" s="16" t="s">
        <v>183</v>
      </c>
      <c r="E57" s="17" t="s">
        <v>17</v>
      </c>
      <c r="F57" s="18" t="s">
        <v>20</v>
      </c>
      <c r="G57" s="17"/>
      <c r="I57" s="40"/>
      <c r="J57" s="41"/>
      <c r="K57" s="41"/>
    </row>
    <row r="58" ht="29.25" customHeight="1">
      <c r="A58" s="7"/>
      <c r="B58" s="22">
        <f>F61-I61</f>
        <v>0</v>
      </c>
      <c r="C58" s="16"/>
      <c r="D58" s="16"/>
      <c r="E58" s="17"/>
      <c r="F58" s="18"/>
      <c r="G58" s="17"/>
      <c r="I58" s="40"/>
      <c r="J58" s="41"/>
      <c r="K58" s="41"/>
    </row>
    <row r="59" ht="29.25" customHeight="1">
      <c r="A59" s="7"/>
      <c r="C59" s="16"/>
      <c r="D59" s="16"/>
      <c r="E59" s="17"/>
      <c r="F59" s="18"/>
      <c r="G59" s="17"/>
      <c r="I59" s="40"/>
      <c r="J59" s="41"/>
      <c r="K59" s="41"/>
    </row>
    <row r="60" ht="29.25" customHeight="1">
      <c r="A60" s="7"/>
      <c r="B60" s="22"/>
      <c r="C60" s="16"/>
      <c r="D60" s="16"/>
      <c r="E60" s="17"/>
      <c r="F60" s="18"/>
      <c r="G60" s="17"/>
      <c r="I60" s="40"/>
      <c r="J60" s="41"/>
      <c r="K60" s="41"/>
    </row>
    <row r="61" ht="45.0" customHeight="1">
      <c r="A61" s="7"/>
      <c r="B61" s="27"/>
      <c r="C61" s="23"/>
      <c r="D61" s="23"/>
      <c r="E61" s="24"/>
      <c r="F61" s="25"/>
      <c r="G61" s="17"/>
      <c r="I61" s="40"/>
      <c r="J61" s="41"/>
      <c r="K61" s="41"/>
    </row>
    <row r="62" ht="22.5" customHeight="1">
      <c r="A62" s="7"/>
      <c r="B62" s="27"/>
      <c r="C62" s="16" t="s">
        <v>11</v>
      </c>
      <c r="D62" s="57">
        <v>2.0</v>
      </c>
      <c r="E62" s="7"/>
      <c r="F62" s="7"/>
      <c r="G62" s="7"/>
      <c r="H62" s="40"/>
      <c r="I62" s="42"/>
      <c r="J62" s="43"/>
      <c r="K62" s="43"/>
    </row>
    <row r="63" ht="7.5" customHeight="1">
      <c r="A63" s="32"/>
      <c r="B63" s="33"/>
      <c r="C63" s="34"/>
      <c r="D63" s="33"/>
      <c r="E63" s="33"/>
      <c r="F63" s="33"/>
      <c r="G63" s="33"/>
      <c r="H63" s="33"/>
      <c r="I63" s="33"/>
      <c r="J63" s="32"/>
      <c r="K63" s="7"/>
    </row>
    <row r="64" ht="33.75" customHeight="1">
      <c r="A64" s="7"/>
      <c r="B64" s="27"/>
      <c r="C64" s="30"/>
      <c r="D64" s="27"/>
      <c r="E64" s="27"/>
      <c r="F64" s="27"/>
      <c r="G64" s="27"/>
      <c r="H64" s="27"/>
      <c r="I64" s="27"/>
      <c r="J64" s="7"/>
      <c r="K64" s="7"/>
    </row>
    <row r="65" ht="22.5" customHeight="1">
      <c r="A65" s="44" t="s">
        <v>15</v>
      </c>
      <c r="K65" s="44"/>
    </row>
    <row r="66" ht="22.5" customHeight="1">
      <c r="A66" s="7"/>
      <c r="B66" s="27"/>
      <c r="C66" s="30"/>
      <c r="D66" s="27"/>
      <c r="E66" s="27"/>
      <c r="F66" s="27"/>
      <c r="G66" s="27"/>
      <c r="H66" s="27"/>
      <c r="I66" s="27"/>
      <c r="J66" s="7"/>
      <c r="K66" s="7"/>
    </row>
    <row r="67" ht="22.5" customHeight="1">
      <c r="A67" s="7"/>
      <c r="B67" s="27"/>
      <c r="C67" s="30"/>
      <c r="D67" s="45"/>
      <c r="E67" s="46"/>
      <c r="F67" s="46"/>
      <c r="G67" s="12"/>
      <c r="H67" s="45"/>
      <c r="I67" s="46"/>
      <c r="J67" s="7"/>
      <c r="K67" s="7"/>
    </row>
  </sheetData>
  <mergeCells count="56">
    <mergeCell ref="G58:H58"/>
    <mergeCell ref="G59:H59"/>
    <mergeCell ref="G60:H60"/>
    <mergeCell ref="G61:H61"/>
    <mergeCell ref="A65:J65"/>
    <mergeCell ref="C46:D46"/>
    <mergeCell ref="C47:D47"/>
    <mergeCell ref="C48:D48"/>
    <mergeCell ref="C49:D49"/>
    <mergeCell ref="G55:H55"/>
    <mergeCell ref="G56:H56"/>
    <mergeCell ref="G57:H57"/>
    <mergeCell ref="B4:H4"/>
    <mergeCell ref="B9:B11"/>
    <mergeCell ref="C9:D9"/>
    <mergeCell ref="C10:D10"/>
    <mergeCell ref="C11:D11"/>
    <mergeCell ref="C12:D12"/>
    <mergeCell ref="B13:B14"/>
    <mergeCell ref="C13:D13"/>
    <mergeCell ref="C14:D14"/>
    <mergeCell ref="B15:B16"/>
    <mergeCell ref="C15:D15"/>
    <mergeCell ref="C16:D16"/>
    <mergeCell ref="B17:B18"/>
    <mergeCell ref="C17:D17"/>
    <mergeCell ref="C18:D18"/>
    <mergeCell ref="C19:D19"/>
    <mergeCell ref="C20:D20"/>
    <mergeCell ref="C21:D21"/>
    <mergeCell ref="C24:D24"/>
    <mergeCell ref="C23:D23"/>
    <mergeCell ref="C22:D22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B55:B56"/>
    <mergeCell ref="B58:B59"/>
  </mergeCells>
  <conditionalFormatting sqref="B1:B21 B23:B64 B66:B67">
    <cfRule type="expression" dxfId="0" priority="1">
      <formula>AND(($B:$B)=max($B:$B), ISNUMBER($B:$B))</formula>
    </cfRule>
  </conditionalFormatting>
  <dataValidations>
    <dataValidation type="list" allowBlank="1" showErrorMessage="1" sqref="K9:K49">
      <formula1>"VISTORIA,ASSINATURA,APÓLICE,ARQUIVOS,AGENDA,RENOVADO,NÃO RENOVADO,CONCLUÍDA,PAGAMENTOS"</formula1>
    </dataValidation>
    <dataValidation type="list" allowBlank="1" showErrorMessage="1" sqref="F55:F61">
      <formula1>"VISTORIA,ASSINATURA,APÓLICE,ARQUIVOS,AGENDA,CONCLUÍDO,PAGAMENTOS"</formula1>
    </dataValidation>
    <dataValidation type="list" allowBlank="1" showErrorMessage="1" sqref="E9:E49 J9:J49 E55:E61">
      <formula1>"EM COTAÇÃO,EM ANÁLISE,CONCLUÍDA"</formula1>
    </dataValidation>
    <dataValidation type="list" allowBlank="1" showErrorMessage="1" sqref="F9:F49">
      <formula1>"VISTORIA,ASSINATURA,APÓLICE,ARQUIVOS,AGENDA,CONCLUÍDO,PAGAMENTOS"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26.38"/>
    <col customWidth="1" min="3" max="3" width="5.25"/>
    <col customWidth="1" min="4" max="4" width="28.63"/>
    <col customWidth="1" min="5" max="5" width="16.13"/>
    <col customWidth="1" min="6" max="6" width="14.5"/>
    <col customWidth="1" min="7" max="7" width="2.63"/>
    <col customWidth="1" min="8" max="8" width="6.13"/>
    <col customWidth="1" min="9" max="9" width="19.38"/>
    <col customWidth="1" min="10" max="10" width="19.75"/>
    <col customWidth="1" min="11" max="11" width="12.2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2"/>
      <c r="B3" s="3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/>
      <c r="B4" s="5" t="s">
        <v>0</v>
      </c>
      <c r="I4" s="6"/>
      <c r="J4" s="6"/>
      <c r="K4" s="6"/>
    </row>
    <row r="5" ht="22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22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22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22.5" customHeight="1">
      <c r="A8" s="7"/>
      <c r="B8" s="8"/>
      <c r="C8" s="9"/>
      <c r="D8" s="10" t="s">
        <v>1</v>
      </c>
      <c r="E8" s="11" t="s">
        <v>2</v>
      </c>
      <c r="F8" s="11" t="s">
        <v>3</v>
      </c>
      <c r="G8" s="12"/>
      <c r="H8" s="13" t="s">
        <v>4</v>
      </c>
      <c r="I8" s="13" t="s">
        <v>5</v>
      </c>
      <c r="J8" s="14" t="s">
        <v>2</v>
      </c>
      <c r="K8" s="14" t="s">
        <v>3</v>
      </c>
    </row>
    <row r="9" ht="29.25" customHeight="1">
      <c r="A9" s="7"/>
      <c r="B9" s="15" t="s">
        <v>6</v>
      </c>
      <c r="C9" s="16"/>
      <c r="D9" s="16" t="s">
        <v>184</v>
      </c>
      <c r="E9" s="17"/>
      <c r="F9" s="18"/>
      <c r="G9" s="19"/>
      <c r="H9" s="65">
        <v>1.0</v>
      </c>
      <c r="I9" s="65" t="s">
        <v>185</v>
      </c>
      <c r="J9" s="17" t="s">
        <v>148</v>
      </c>
      <c r="K9" s="18"/>
    </row>
    <row r="10" ht="29.25" customHeight="1">
      <c r="A10" s="7"/>
      <c r="C10" s="16"/>
      <c r="D10" s="16"/>
      <c r="E10" s="17"/>
      <c r="F10" s="18"/>
      <c r="G10" s="19"/>
      <c r="H10" s="65">
        <v>2.0</v>
      </c>
      <c r="I10" s="65" t="s">
        <v>186</v>
      </c>
      <c r="J10" s="17" t="s">
        <v>125</v>
      </c>
      <c r="K10" s="18" t="s">
        <v>187</v>
      </c>
    </row>
    <row r="11" ht="29.25" customHeight="1">
      <c r="A11" s="7"/>
      <c r="C11" s="16"/>
      <c r="D11" s="16"/>
      <c r="E11" s="17"/>
      <c r="F11" s="18"/>
      <c r="G11" s="19"/>
      <c r="H11" s="65">
        <v>2.0</v>
      </c>
      <c r="I11" s="65" t="s">
        <v>109</v>
      </c>
      <c r="J11" s="17" t="s">
        <v>148</v>
      </c>
      <c r="K11" s="18"/>
    </row>
    <row r="12" ht="29.25" customHeight="1">
      <c r="A12" s="7"/>
      <c r="B12" s="20" t="s">
        <v>7</v>
      </c>
      <c r="C12" s="16"/>
      <c r="D12" s="16"/>
      <c r="E12" s="17"/>
      <c r="F12" s="18"/>
      <c r="G12" s="19"/>
      <c r="H12" s="65">
        <v>3.0</v>
      </c>
      <c r="I12" s="65" t="s">
        <v>188</v>
      </c>
      <c r="J12" s="17" t="s">
        <v>148</v>
      </c>
      <c r="K12" s="18"/>
    </row>
    <row r="13" ht="29.25" customHeight="1">
      <c r="A13" s="7"/>
      <c r="B13" s="21" t="s">
        <v>8</v>
      </c>
      <c r="C13" s="16"/>
      <c r="D13" s="16"/>
      <c r="E13" s="17"/>
      <c r="F13" s="18"/>
      <c r="G13" s="19"/>
      <c r="H13" s="65">
        <v>3.0</v>
      </c>
      <c r="I13" s="65" t="s">
        <v>189</v>
      </c>
      <c r="J13" s="17" t="s">
        <v>148</v>
      </c>
      <c r="K13" s="18"/>
    </row>
    <row r="14" ht="29.25" customHeight="1">
      <c r="A14" s="7"/>
      <c r="C14" s="16"/>
      <c r="D14" s="16"/>
      <c r="E14" s="17"/>
      <c r="F14" s="18"/>
      <c r="G14" s="19"/>
      <c r="H14" s="65">
        <v>4.0</v>
      </c>
      <c r="I14" s="65" t="s">
        <v>190</v>
      </c>
      <c r="J14" s="17" t="s">
        <v>148</v>
      </c>
      <c r="K14" s="18"/>
    </row>
    <row r="15" ht="29.25" customHeight="1">
      <c r="A15" s="7"/>
      <c r="B15" s="21" t="s">
        <v>9</v>
      </c>
      <c r="C15" s="16"/>
      <c r="D15" s="16"/>
      <c r="E15" s="17"/>
      <c r="F15" s="18"/>
      <c r="G15" s="19"/>
      <c r="H15" s="65">
        <v>4.0</v>
      </c>
      <c r="I15" s="65" t="s">
        <v>191</v>
      </c>
      <c r="J15" s="17" t="s">
        <v>17</v>
      </c>
      <c r="K15" s="18" t="s">
        <v>47</v>
      </c>
    </row>
    <row r="16" ht="29.25" customHeight="1">
      <c r="A16" s="7"/>
      <c r="C16" s="16"/>
      <c r="D16" s="16"/>
      <c r="E16" s="17"/>
      <c r="F16" s="18"/>
      <c r="G16" s="19"/>
      <c r="H16" s="65">
        <v>4.0</v>
      </c>
      <c r="I16" s="65" t="s">
        <v>192</v>
      </c>
      <c r="J16" s="17" t="s">
        <v>125</v>
      </c>
      <c r="K16" s="18" t="s">
        <v>174</v>
      </c>
    </row>
    <row r="17" ht="29.25" customHeight="1">
      <c r="A17" s="7"/>
      <c r="B17" s="21" t="s">
        <v>10</v>
      </c>
      <c r="C17" s="16"/>
      <c r="D17" s="16"/>
      <c r="E17" s="17"/>
      <c r="F17" s="18"/>
      <c r="G17" s="19"/>
      <c r="H17" s="65">
        <v>4.0</v>
      </c>
      <c r="I17" s="66" t="s">
        <v>193</v>
      </c>
      <c r="J17" s="67" t="s">
        <v>148</v>
      </c>
      <c r="K17" s="18"/>
    </row>
    <row r="18" ht="29.25" customHeight="1">
      <c r="A18" s="7"/>
      <c r="C18" s="16"/>
      <c r="D18" s="16"/>
      <c r="E18" s="17"/>
      <c r="F18" s="18"/>
      <c r="G18" s="19"/>
      <c r="H18" s="65">
        <v>6.0</v>
      </c>
      <c r="I18" s="66" t="s">
        <v>194</v>
      </c>
      <c r="J18" s="67" t="s">
        <v>148</v>
      </c>
      <c r="K18" s="18"/>
    </row>
    <row r="19" ht="29.25" customHeight="1">
      <c r="A19" s="7"/>
      <c r="B19" s="22"/>
      <c r="C19" s="16"/>
      <c r="D19" s="16"/>
      <c r="E19" s="17"/>
      <c r="F19" s="18"/>
      <c r="G19" s="19"/>
      <c r="H19" s="65">
        <v>9.0</v>
      </c>
      <c r="I19" s="65" t="s">
        <v>195</v>
      </c>
      <c r="J19" s="17"/>
      <c r="K19" s="18"/>
    </row>
    <row r="20" ht="29.25" customHeight="1">
      <c r="A20" s="7"/>
      <c r="B20" s="22"/>
      <c r="C20" s="16"/>
      <c r="D20" s="16"/>
      <c r="E20" s="17"/>
      <c r="F20" s="18"/>
      <c r="G20" s="19"/>
      <c r="H20" s="65">
        <v>9.0</v>
      </c>
      <c r="I20" s="65" t="s">
        <v>196</v>
      </c>
      <c r="J20" s="17"/>
      <c r="K20" s="18"/>
    </row>
    <row r="21" ht="29.25" customHeight="1">
      <c r="A21" s="7"/>
      <c r="B21" s="22"/>
      <c r="C21" s="16"/>
      <c r="D21" s="16"/>
      <c r="E21" s="17"/>
      <c r="F21" s="18"/>
      <c r="G21" s="19"/>
      <c r="H21" s="65">
        <v>11.0</v>
      </c>
      <c r="I21" s="65" t="s">
        <v>197</v>
      </c>
      <c r="J21" s="17"/>
      <c r="K21" s="18"/>
    </row>
    <row r="22" ht="29.25" customHeight="1">
      <c r="A22" s="7"/>
      <c r="B22" s="22"/>
      <c r="C22" s="16"/>
      <c r="D22" s="16"/>
      <c r="E22" s="17"/>
      <c r="F22" s="18"/>
      <c r="G22" s="19"/>
      <c r="H22" s="65">
        <v>11.0</v>
      </c>
      <c r="I22" s="65" t="s">
        <v>185</v>
      </c>
      <c r="J22" s="17"/>
      <c r="K22" s="18"/>
    </row>
    <row r="23" ht="29.25" customHeight="1">
      <c r="A23" s="7"/>
      <c r="B23" s="22"/>
      <c r="C23" s="16"/>
      <c r="D23" s="16"/>
      <c r="E23" s="17"/>
      <c r="F23" s="18"/>
      <c r="G23" s="19"/>
      <c r="H23" s="65">
        <v>11.0</v>
      </c>
      <c r="I23" s="65" t="s">
        <v>198</v>
      </c>
      <c r="J23" s="17"/>
      <c r="K23" s="18"/>
    </row>
    <row r="24" ht="29.25" customHeight="1">
      <c r="A24" s="7"/>
      <c r="B24" s="22"/>
      <c r="C24" s="16"/>
      <c r="D24" s="16"/>
      <c r="E24" s="17"/>
      <c r="F24" s="18"/>
      <c r="G24" s="19"/>
      <c r="H24" s="65">
        <v>11.0</v>
      </c>
      <c r="I24" s="65" t="s">
        <v>199</v>
      </c>
      <c r="J24" s="17"/>
      <c r="K24" s="18"/>
    </row>
    <row r="25" ht="29.25" customHeight="1">
      <c r="A25" s="7"/>
      <c r="B25" s="22"/>
      <c r="C25" s="16"/>
      <c r="D25" s="16"/>
      <c r="E25" s="17"/>
      <c r="F25" s="18"/>
      <c r="G25" s="19"/>
      <c r="H25" s="65">
        <v>12.0</v>
      </c>
      <c r="I25" s="65" t="s">
        <v>200</v>
      </c>
      <c r="J25" s="17"/>
      <c r="K25" s="18"/>
    </row>
    <row r="26" ht="29.25" customHeight="1">
      <c r="A26" s="7"/>
      <c r="B26" s="22"/>
      <c r="C26" s="16"/>
      <c r="D26" s="16"/>
      <c r="E26" s="17"/>
      <c r="F26" s="18"/>
      <c r="G26" s="19"/>
      <c r="H26" s="65">
        <v>13.0</v>
      </c>
      <c r="I26" s="65" t="s">
        <v>201</v>
      </c>
      <c r="J26" s="17"/>
      <c r="K26" s="18"/>
    </row>
    <row r="27" ht="29.25" customHeight="1">
      <c r="A27" s="7"/>
      <c r="B27" s="22"/>
      <c r="C27" s="16"/>
      <c r="D27" s="16"/>
      <c r="E27" s="17"/>
      <c r="F27" s="18"/>
      <c r="G27" s="19"/>
      <c r="H27" s="65">
        <v>14.0</v>
      </c>
      <c r="I27" s="65" t="s">
        <v>202</v>
      </c>
      <c r="J27" s="17"/>
      <c r="K27" s="18"/>
    </row>
    <row r="28" ht="29.25" customHeight="1">
      <c r="A28" s="7"/>
      <c r="B28" s="22"/>
      <c r="C28" s="16"/>
      <c r="D28" s="16"/>
      <c r="E28" s="17"/>
      <c r="F28" s="18"/>
      <c r="G28" s="19"/>
      <c r="H28" s="65">
        <v>14.0</v>
      </c>
      <c r="I28" s="65" t="s">
        <v>203</v>
      </c>
      <c r="J28" s="17"/>
      <c r="K28" s="18"/>
    </row>
    <row r="29" ht="29.25" customHeight="1">
      <c r="A29" s="7"/>
      <c r="B29" s="22"/>
      <c r="C29" s="16"/>
      <c r="D29" s="16"/>
      <c r="E29" s="17"/>
      <c r="F29" s="18"/>
      <c r="G29" s="19"/>
      <c r="H29" s="65">
        <v>15.0</v>
      </c>
      <c r="I29" s="65" t="s">
        <v>204</v>
      </c>
      <c r="J29" s="17"/>
      <c r="K29" s="18"/>
    </row>
    <row r="30" ht="29.25" customHeight="1">
      <c r="A30" s="7"/>
      <c r="B30" s="22"/>
      <c r="C30" s="16"/>
      <c r="D30" s="16"/>
      <c r="E30" s="17"/>
      <c r="F30" s="18"/>
      <c r="G30" s="19"/>
      <c r="H30" s="65">
        <v>15.0</v>
      </c>
      <c r="I30" s="65" t="s">
        <v>205</v>
      </c>
      <c r="J30" s="17"/>
      <c r="K30" s="18"/>
    </row>
    <row r="31" ht="29.25" customHeight="1">
      <c r="A31" s="7"/>
      <c r="B31" s="22"/>
      <c r="C31" s="16"/>
      <c r="D31" s="16"/>
      <c r="E31" s="17"/>
      <c r="F31" s="18"/>
      <c r="G31" s="19"/>
      <c r="H31" s="65">
        <v>17.0</v>
      </c>
      <c r="I31" s="65" t="s">
        <v>206</v>
      </c>
      <c r="J31" s="17"/>
      <c r="K31" s="18"/>
    </row>
    <row r="32" ht="29.25" customHeight="1">
      <c r="A32" s="7"/>
      <c r="B32" s="22"/>
      <c r="C32" s="16"/>
      <c r="D32" s="16"/>
      <c r="E32" s="17"/>
      <c r="F32" s="18"/>
      <c r="G32" s="19"/>
      <c r="H32" s="65">
        <v>21.0</v>
      </c>
      <c r="I32" s="65" t="s">
        <v>207</v>
      </c>
      <c r="J32" s="17"/>
      <c r="K32" s="18"/>
    </row>
    <row r="33" ht="29.25" customHeight="1">
      <c r="A33" s="7"/>
      <c r="B33" s="22"/>
      <c r="C33" s="16"/>
      <c r="D33" s="16"/>
      <c r="E33" s="17"/>
      <c r="F33" s="18"/>
      <c r="G33" s="19"/>
      <c r="H33" s="65">
        <v>23.0</v>
      </c>
      <c r="I33" s="65" t="s">
        <v>208</v>
      </c>
      <c r="J33" s="17"/>
      <c r="K33" s="18"/>
    </row>
    <row r="34" ht="29.25" customHeight="1">
      <c r="A34" s="7"/>
      <c r="B34" s="22"/>
      <c r="C34" s="16"/>
      <c r="D34" s="16"/>
      <c r="E34" s="17"/>
      <c r="F34" s="18"/>
      <c r="G34" s="19"/>
      <c r="H34" s="65">
        <v>24.0</v>
      </c>
      <c r="I34" s="65" t="s">
        <v>209</v>
      </c>
      <c r="J34" s="17"/>
      <c r="K34" s="18"/>
    </row>
    <row r="35" ht="29.25" customHeight="1">
      <c r="A35" s="7"/>
      <c r="B35" s="22"/>
      <c r="C35" s="16"/>
      <c r="D35" s="16"/>
      <c r="E35" s="17"/>
      <c r="F35" s="18"/>
      <c r="G35" s="19"/>
      <c r="H35" s="65">
        <v>25.0</v>
      </c>
      <c r="I35" s="65" t="s">
        <v>210</v>
      </c>
      <c r="J35" s="17"/>
      <c r="K35" s="18"/>
    </row>
    <row r="36" ht="29.25" customHeight="1">
      <c r="A36" s="7"/>
      <c r="B36" s="22"/>
      <c r="C36" s="16"/>
      <c r="D36" s="16"/>
      <c r="E36" s="17"/>
      <c r="F36" s="18"/>
      <c r="G36" s="19"/>
      <c r="H36" s="65">
        <v>26.0</v>
      </c>
      <c r="I36" s="65" t="s">
        <v>211</v>
      </c>
      <c r="J36" s="17"/>
      <c r="K36" s="18"/>
    </row>
    <row r="37" ht="29.25" customHeight="1">
      <c r="A37" s="7"/>
      <c r="B37" s="22"/>
      <c r="C37" s="16"/>
      <c r="D37" s="16"/>
      <c r="E37" s="17"/>
      <c r="F37" s="18"/>
      <c r="G37" s="19"/>
      <c r="H37" s="65">
        <v>27.0</v>
      </c>
      <c r="I37" s="65" t="s">
        <v>212</v>
      </c>
      <c r="J37" s="17"/>
      <c r="K37" s="18"/>
    </row>
    <row r="38" ht="29.25" customHeight="1">
      <c r="A38" s="7"/>
      <c r="B38" s="22"/>
      <c r="C38" s="16"/>
      <c r="D38" s="16"/>
      <c r="E38" s="17"/>
      <c r="F38" s="18"/>
      <c r="G38" s="19"/>
      <c r="H38" s="65">
        <v>30.0</v>
      </c>
      <c r="I38" s="65" t="s">
        <v>213</v>
      </c>
      <c r="J38" s="17"/>
      <c r="K38" s="18"/>
    </row>
    <row r="39" ht="29.25" customHeight="1">
      <c r="A39" s="7"/>
      <c r="B39" s="22"/>
      <c r="C39" s="16"/>
      <c r="D39" s="16"/>
      <c r="E39" s="17"/>
      <c r="F39" s="18"/>
      <c r="G39" s="19"/>
      <c r="H39" s="65"/>
      <c r="I39" s="65"/>
      <c r="J39" s="17"/>
      <c r="K39" s="18"/>
    </row>
    <row r="40" ht="29.25" customHeight="1">
      <c r="A40" s="7"/>
      <c r="B40" s="22"/>
      <c r="C40" s="16"/>
      <c r="D40" s="16"/>
      <c r="E40" s="17"/>
      <c r="F40" s="18"/>
      <c r="G40" s="19"/>
      <c r="H40" s="65"/>
      <c r="I40" s="65"/>
      <c r="J40" s="17"/>
      <c r="K40" s="18"/>
    </row>
    <row r="41" ht="29.25" customHeight="1">
      <c r="A41" s="7"/>
      <c r="B41" s="22"/>
      <c r="C41" s="16"/>
      <c r="D41" s="16"/>
      <c r="E41" s="17"/>
      <c r="F41" s="18"/>
      <c r="G41" s="19"/>
      <c r="H41" s="65"/>
      <c r="I41" s="65"/>
      <c r="J41" s="17"/>
      <c r="K41" s="18"/>
    </row>
    <row r="42" ht="29.25" customHeight="1">
      <c r="A42" s="7"/>
      <c r="B42" s="22"/>
      <c r="C42" s="23"/>
      <c r="D42" s="23"/>
      <c r="E42" s="24"/>
      <c r="F42" s="25"/>
      <c r="G42" s="19"/>
      <c r="H42" s="68"/>
      <c r="I42" s="68"/>
      <c r="J42" s="24"/>
      <c r="K42" s="25"/>
    </row>
    <row r="43" ht="45.0" customHeight="1">
      <c r="A43" s="7"/>
      <c r="B43" s="27"/>
      <c r="C43" s="16" t="s">
        <v>11</v>
      </c>
      <c r="D43" s="28">
        <f>SUM(D9:D42)</f>
        <v>0</v>
      </c>
      <c r="E43" s="7"/>
      <c r="F43" s="7"/>
      <c r="G43" s="29"/>
      <c r="H43" s="16" t="s">
        <v>11</v>
      </c>
      <c r="I43" s="57">
        <v>31.0</v>
      </c>
      <c r="J43" s="7"/>
      <c r="K43" s="7"/>
    </row>
    <row r="44" ht="22.5" customHeight="1">
      <c r="A44" s="7"/>
      <c r="B44" s="27"/>
      <c r="C44" s="30"/>
      <c r="D44" s="27"/>
      <c r="E44" s="27"/>
      <c r="F44" s="27"/>
      <c r="G44" s="27"/>
      <c r="H44" s="27"/>
      <c r="I44" s="27"/>
      <c r="J44" s="31" t="s">
        <v>12</v>
      </c>
      <c r="K44" s="31"/>
    </row>
    <row r="45" ht="7.5" customHeight="1">
      <c r="A45" s="32"/>
      <c r="B45" s="33"/>
      <c r="C45" s="34"/>
      <c r="D45" s="33"/>
      <c r="E45" s="33"/>
      <c r="F45" s="33"/>
      <c r="G45" s="33"/>
      <c r="H45" s="33"/>
      <c r="I45" s="33"/>
      <c r="J45" s="32"/>
      <c r="K45" s="7"/>
    </row>
    <row r="46" ht="33.75" customHeight="1">
      <c r="A46" s="7"/>
      <c r="B46" s="27"/>
      <c r="C46" s="30"/>
      <c r="D46" s="27"/>
      <c r="E46" s="27"/>
      <c r="F46" s="27"/>
      <c r="G46" s="27"/>
      <c r="H46" s="27"/>
      <c r="I46" s="27"/>
      <c r="J46" s="7"/>
      <c r="K46" s="7"/>
    </row>
    <row r="47" ht="22.5" customHeight="1">
      <c r="A47" s="7"/>
      <c r="B47" s="8"/>
      <c r="C47" s="35" t="s">
        <v>4</v>
      </c>
      <c r="D47" s="35" t="s">
        <v>13</v>
      </c>
      <c r="E47" s="36" t="s">
        <v>2</v>
      </c>
      <c r="F47" s="36" t="s">
        <v>3</v>
      </c>
      <c r="G47" s="37"/>
      <c r="H47" s="37"/>
      <c r="I47" s="38"/>
      <c r="J47" s="37"/>
      <c r="K47" s="37"/>
    </row>
    <row r="48" ht="29.25" customHeight="1">
      <c r="A48" s="7"/>
      <c r="B48" s="39" t="s">
        <v>14</v>
      </c>
      <c r="C48" s="16"/>
      <c r="D48" s="16"/>
      <c r="E48" s="17"/>
      <c r="F48" s="18"/>
      <c r="G48" s="17"/>
      <c r="I48" s="40"/>
      <c r="J48" s="41"/>
      <c r="K48" s="41"/>
    </row>
    <row r="49" ht="29.25" customHeight="1">
      <c r="A49" s="7"/>
      <c r="C49" s="16"/>
      <c r="D49" s="16"/>
      <c r="E49" s="17"/>
      <c r="F49" s="18"/>
      <c r="G49" s="17"/>
      <c r="I49" s="40"/>
      <c r="J49" s="41"/>
      <c r="K49" s="41"/>
    </row>
    <row r="50" ht="29.25" customHeight="1">
      <c r="A50" s="7"/>
      <c r="C50" s="16"/>
      <c r="D50" s="16"/>
      <c r="E50" s="17"/>
      <c r="F50" s="18"/>
      <c r="G50" s="17"/>
      <c r="I50" s="40"/>
      <c r="J50" s="41"/>
      <c r="K50" s="41"/>
    </row>
    <row r="51" ht="29.25" customHeight="1">
      <c r="A51" s="7"/>
      <c r="B51" s="20" t="s">
        <v>13</v>
      </c>
      <c r="C51" s="16"/>
      <c r="D51" s="16"/>
      <c r="E51" s="17"/>
      <c r="F51" s="18"/>
      <c r="G51" s="17"/>
      <c r="I51" s="40"/>
      <c r="J51" s="41"/>
      <c r="K51" s="41"/>
    </row>
    <row r="52" ht="29.25" customHeight="1">
      <c r="A52" s="7"/>
      <c r="B52" s="22">
        <f>F55-I55</f>
        <v>0</v>
      </c>
      <c r="C52" s="16"/>
      <c r="D52" s="16"/>
      <c r="E52" s="17"/>
      <c r="F52" s="18"/>
      <c r="G52" s="17"/>
      <c r="I52" s="40"/>
      <c r="J52" s="41"/>
      <c r="K52" s="41"/>
    </row>
    <row r="53" ht="29.25" customHeight="1">
      <c r="A53" s="7"/>
      <c r="C53" s="16"/>
      <c r="D53" s="16"/>
      <c r="E53" s="17"/>
      <c r="F53" s="18"/>
      <c r="G53" s="17"/>
      <c r="I53" s="40"/>
      <c r="J53" s="41"/>
      <c r="K53" s="41"/>
    </row>
    <row r="54" ht="29.25" customHeight="1">
      <c r="A54" s="7"/>
      <c r="B54" s="22"/>
      <c r="C54" s="16"/>
      <c r="D54" s="16"/>
      <c r="E54" s="17"/>
      <c r="F54" s="18"/>
      <c r="G54" s="17"/>
      <c r="I54" s="40"/>
      <c r="J54" s="41"/>
      <c r="K54" s="41"/>
    </row>
    <row r="55" ht="45.0" customHeight="1">
      <c r="A55" s="7"/>
      <c r="B55" s="27"/>
      <c r="C55" s="23"/>
      <c r="D55" s="23"/>
      <c r="E55" s="24"/>
      <c r="F55" s="25"/>
      <c r="G55" s="17"/>
      <c r="I55" s="40"/>
      <c r="J55" s="41"/>
      <c r="K55" s="41"/>
    </row>
    <row r="56" ht="22.5" customHeight="1">
      <c r="A56" s="7"/>
      <c r="B56" s="27"/>
      <c r="C56" s="16" t="s">
        <v>11</v>
      </c>
      <c r="D56" s="28">
        <f>SUM(D48:D55)</f>
        <v>0</v>
      </c>
      <c r="E56" s="7"/>
      <c r="F56" s="7"/>
      <c r="G56" s="7"/>
      <c r="H56" s="40"/>
      <c r="I56" s="42"/>
      <c r="J56" s="43"/>
      <c r="K56" s="43"/>
    </row>
    <row r="57" ht="7.5" customHeight="1">
      <c r="A57" s="32"/>
      <c r="B57" s="33"/>
      <c r="C57" s="34"/>
      <c r="D57" s="33"/>
      <c r="E57" s="33"/>
      <c r="F57" s="33"/>
      <c r="G57" s="33"/>
      <c r="H57" s="33"/>
      <c r="I57" s="33"/>
      <c r="J57" s="32"/>
      <c r="K57" s="7"/>
    </row>
    <row r="58" ht="33.75" customHeight="1">
      <c r="A58" s="7"/>
      <c r="B58" s="27"/>
      <c r="C58" s="30"/>
      <c r="D58" s="27"/>
      <c r="E58" s="27"/>
      <c r="F58" s="27"/>
      <c r="G58" s="27"/>
      <c r="H58" s="27"/>
      <c r="I58" s="27"/>
      <c r="J58" s="7"/>
      <c r="K58" s="7"/>
    </row>
    <row r="59" ht="22.5" customHeight="1">
      <c r="A59" s="44" t="s">
        <v>15</v>
      </c>
      <c r="K59" s="44"/>
    </row>
    <row r="60" ht="22.5" customHeight="1">
      <c r="A60" s="7"/>
      <c r="B60" s="27"/>
      <c r="C60" s="30"/>
      <c r="D60" s="27"/>
      <c r="E60" s="27"/>
      <c r="F60" s="27"/>
      <c r="G60" s="27"/>
      <c r="H60" s="27"/>
      <c r="I60" s="27"/>
      <c r="J60" s="7"/>
      <c r="K60" s="7"/>
    </row>
    <row r="61" ht="22.5" customHeight="1">
      <c r="A61" s="7"/>
      <c r="B61" s="27"/>
      <c r="C61" s="30"/>
      <c r="D61" s="45"/>
      <c r="E61" s="46"/>
      <c r="F61" s="46"/>
      <c r="G61" s="12"/>
      <c r="H61" s="45"/>
      <c r="I61" s="46"/>
      <c r="J61" s="7"/>
      <c r="K61" s="7"/>
    </row>
  </sheetData>
  <mergeCells count="16">
    <mergeCell ref="G49:H49"/>
    <mergeCell ref="G50:H50"/>
    <mergeCell ref="G51:H51"/>
    <mergeCell ref="G48:H48"/>
    <mergeCell ref="G52:H52"/>
    <mergeCell ref="G54:H54"/>
    <mergeCell ref="G55:H55"/>
    <mergeCell ref="A59:J59"/>
    <mergeCell ref="B4:H4"/>
    <mergeCell ref="B9:B11"/>
    <mergeCell ref="B13:B14"/>
    <mergeCell ref="B15:B16"/>
    <mergeCell ref="B17:B18"/>
    <mergeCell ref="B48:B50"/>
    <mergeCell ref="B52:B53"/>
    <mergeCell ref="G53:H53"/>
  </mergeCells>
  <conditionalFormatting sqref="B1:B58 B60:B61">
    <cfRule type="expression" dxfId="0" priority="1">
      <formula>AND(($B:$B)=max($B:$B), ISNUMBER($B:$B))</formula>
    </cfRule>
  </conditionalFormatting>
  <dataValidations>
    <dataValidation type="list" allowBlank="1" showErrorMessage="1" sqref="K9:K42">
      <formula1>"VISTORIA,ASSINATURA,APÓLICE,ARQUIVOS,AGENDA,RENOVADO,NÃO RENOVADO,CONCLUÍDA,PAGAMENTOS"</formula1>
    </dataValidation>
    <dataValidation type="list" allowBlank="1" showErrorMessage="1" sqref="F48:F55">
      <formula1>"VISTORIA,ASSINATURA,APÓLICE,ARQUIVOS,AGENDA,CONCLUÍDO,PAGAMENTOS"</formula1>
    </dataValidation>
    <dataValidation type="list" allowBlank="1" showErrorMessage="1" sqref="E9:E42 J9:J42 E48:E55">
      <formula1>"EM COTAÇÃO,EM ANÁLISE,CONCLUÍDA"</formula1>
    </dataValidation>
    <dataValidation type="list" allowBlank="1" showErrorMessage="1" sqref="F9:F42">
      <formula1>"VISTORIA,ASSINATURA,APÓLICE,ARQUIVOS,AGENDA,CONCLUÍDO,PAGAMENTOS"</formula1>
    </dataValidation>
  </dataValidations>
  <drawing r:id="rId1"/>
</worksheet>
</file>