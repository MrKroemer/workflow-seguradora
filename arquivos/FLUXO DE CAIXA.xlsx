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NDIMENTO" sheetId="1" state="visible" r:id="rId1"/>
    <sheet xmlns:r="http://schemas.openxmlformats.org/officeDocument/2006/relationships" name="Gastos Mensais" sheetId="2" state="visible" r:id="rId2"/>
    <sheet xmlns:r="http://schemas.openxmlformats.org/officeDocument/2006/relationships" name="Resumo De Gastos" sheetId="3" state="visible" r:id="rId3"/>
    <sheet xmlns:r="http://schemas.openxmlformats.org/officeDocument/2006/relationships" name="Leia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dd/mm"/>
  </numFmts>
  <fonts count="6">
    <font>
      <name val="Calibri"/>
      <color theme="1"/>
      <sz val="11"/>
      <scheme val="minor"/>
    </font>
    <font>
      <name val="Calibri"/>
      <color theme="1"/>
      <scheme val="minor"/>
    </font>
    <font>
      <name val="Calibri"/>
      <b val="1"/>
      <color theme="1"/>
      <scheme val="minor"/>
    </font>
    <font>
      <name val="Calibri"/>
      <color theme="1"/>
      <sz val="9"/>
      <scheme val="minor"/>
    </font>
    <font>
      <name val="Calibri"/>
      <b val="1"/>
      <color theme="1"/>
      <sz val="15"/>
      <scheme val="minor"/>
    </font>
    <font>
      <name val="Roboto"/>
      <b val="1"/>
      <color theme="1"/>
    </font>
  </fonts>
  <fills count="5">
    <fill>
      <patternFill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4">
    <border/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164" fontId="1" fillId="0" borderId="1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64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3" borderId="2" applyAlignment="1" pivotButton="0" quotePrefix="0" xfId="0">
      <alignment vertical="center"/>
    </xf>
    <xf numFmtId="164" fontId="1" fillId="3" borderId="2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64" fontId="1" fillId="3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4" borderId="0" pivotButton="0" quotePrefix="0" xfId="0"/>
    <xf numFmtId="0" fontId="1" fillId="4" borderId="0" pivotButton="0" quotePrefix="0" xfId="0"/>
    <xf numFmtId="0" fontId="5" fillId="4" borderId="3" pivotButton="0" quotePrefix="0" xfId="0"/>
    <xf numFmtId="0" fontId="1" fillId="0" borderId="3" pivotButton="0" quotePrefix="0" xfId="0"/>
    <xf numFmtId="0" fontId="1" fillId="0" borderId="3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3" defaultTableStyle="TableStyleMedium9" defaultPivotStyle="PivotStyleLight16">
    <tableStyle name="RENDIMENTO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RENDIMENTO-style 2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Gastos Mensai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ela_1" displayName="Tabela_1" ref="A1:F49" headerRowCount="1">
  <tableColumns count="6">
    <tableColumn id="1" name="2025"/>
    <tableColumn id="2" name="RENDIMENTO"/>
    <tableColumn id="3" name="2026"/>
    <tableColumn id="4" name="RENDIMENTO 2"/>
    <tableColumn id="5" name="2027"/>
    <tableColumn id="6" name="RENDIMENTO 3"/>
  </tableColumns>
  <tableStyleInfo name="RENDIMENTO-style" showFirstColumn="1" showLastColumn="1" showRowStripes="1" showColumnStripes="0"/>
</table>
</file>

<file path=xl/tables/table2.xml><?xml version="1.0" encoding="utf-8"?>
<table xmlns="http://schemas.openxmlformats.org/spreadsheetml/2006/main" id="2" name="RENDA_MENSAL" displayName="RENDA_MENSAL" ref="H3:K49" headerRowCount="1">
  <tableColumns count="4">
    <tableColumn id="1" name="DATA "/>
    <tableColumn id="2" name="VALOR"/>
    <tableColumn id="3" name="SEGURADORA"/>
    <tableColumn id="4" name="ESPECIFICAÇÃO"/>
  </tableColumns>
  <tableStyleInfo name="RENDIMENTO-style 2" showFirstColumn="1" showLastColumn="1" showRowStripes="1" showColumnStripes="0"/>
</table>
</file>

<file path=xl/tables/table3.xml><?xml version="1.0" encoding="utf-8"?>
<table xmlns="http://schemas.openxmlformats.org/spreadsheetml/2006/main" id="3" name="GASTOS" displayName="GASTOS" ref="A1:D73" headerRowCount="1">
  <tableColumns count="4">
    <tableColumn id="1" name="Data"/>
    <tableColumn id="2" name="Descrição"/>
    <tableColumn id="3" name="Categoria"/>
    <tableColumn id="4" name="Valor (R$)"/>
  </tableColumns>
  <tableStyleInfo name="Gastos Mensai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4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7.43" customWidth="1" style="32" min="1" max="1"/>
    <col width="19.57" customWidth="1" style="32" min="2" max="2"/>
    <col width="16" customWidth="1" style="32" min="3" max="3"/>
    <col width="23" customWidth="1" style="32" min="4" max="4"/>
    <col width="16.57" customWidth="1" style="32" min="5" max="5"/>
    <col width="19.57" customWidth="1" style="32" min="6" max="6"/>
    <col width="5.57" customWidth="1" style="32" min="7" max="7"/>
    <col width="16.43" customWidth="1" style="32" min="9" max="9"/>
    <col width="23.29" customWidth="1" style="32" min="10" max="10"/>
    <col width="25.43" customWidth="1" style="32" min="11" max="11"/>
  </cols>
  <sheetData>
    <row r="1" ht="22.5" customHeight="1" s="32">
      <c r="A1" s="1" t="inlineStr">
        <is>
          <t>2025</t>
        </is>
      </c>
      <c r="B1" s="1" t="inlineStr">
        <is>
          <t>RENDIMENTO</t>
        </is>
      </c>
      <c r="C1" s="1" t="inlineStr">
        <is>
          <t>2026</t>
        </is>
      </c>
      <c r="D1" s="1" t="inlineStr">
        <is>
          <t>RENDIMENTO 2</t>
        </is>
      </c>
      <c r="E1" s="1" t="inlineStr">
        <is>
          <t>2027</t>
        </is>
      </c>
      <c r="F1" s="1" t="inlineStr">
        <is>
          <t>RENDIMENTO 3</t>
        </is>
      </c>
    </row>
    <row r="2" ht="22.5" customHeight="1" s="32">
      <c r="A2" s="2" t="inlineStr">
        <is>
          <t>JANEIRO</t>
        </is>
      </c>
      <c r="B2" s="12" t="n"/>
      <c r="C2" s="2" t="inlineStr">
        <is>
          <t>JANEIRO</t>
        </is>
      </c>
      <c r="D2" s="7" t="n">
        <v>13079.58</v>
      </c>
      <c r="E2" s="2" t="inlineStr">
        <is>
          <t>JANEIRO</t>
        </is>
      </c>
      <c r="F2" s="25" t="n"/>
    </row>
    <row r="3" ht="22.5" customHeight="1" s="32">
      <c r="A3" s="2" t="inlineStr">
        <is>
          <t>FEVEREIRO</t>
        </is>
      </c>
      <c r="B3" s="12" t="n"/>
      <c r="C3" s="2" t="inlineStr">
        <is>
          <t>FEVEREIRO</t>
        </is>
      </c>
      <c r="D3" s="7" t="n">
        <v>11667.37</v>
      </c>
      <c r="E3" s="2" t="inlineStr">
        <is>
          <t>FEVEREIRO</t>
        </is>
      </c>
      <c r="F3" s="25" t="n"/>
      <c r="H3" s="6" t="inlineStr">
        <is>
          <t xml:space="preserve">DATA </t>
        </is>
      </c>
      <c r="I3" s="6" t="inlineStr">
        <is>
          <t>VALOR</t>
        </is>
      </c>
      <c r="J3" s="6" t="inlineStr">
        <is>
          <t>SEGURADORA</t>
        </is>
      </c>
      <c r="K3" s="6" t="inlineStr">
        <is>
          <t>ESPECIFICAÇÃO</t>
        </is>
      </c>
    </row>
    <row r="4" ht="22.5" customHeight="1" s="32">
      <c r="A4" s="2" t="inlineStr">
        <is>
          <t>MARÇO</t>
        </is>
      </c>
      <c r="B4" s="12" t="n"/>
      <c r="C4" s="2" t="inlineStr">
        <is>
          <t>MARÇO</t>
        </is>
      </c>
      <c r="D4" s="7" t="n"/>
      <c r="E4" s="2" t="inlineStr">
        <is>
          <t>MARÇO</t>
        </is>
      </c>
      <c r="F4" s="25" t="n"/>
      <c r="H4" s="8" t="n">
        <v>46083</v>
      </c>
      <c r="I4" s="16" t="n">
        <v>283.32</v>
      </c>
      <c r="J4" s="15" t="inlineStr">
        <is>
          <t>BRADESCO</t>
        </is>
      </c>
      <c r="K4" s="25" t="n"/>
    </row>
    <row r="5" ht="22.5" customHeight="1" s="32">
      <c r="A5" s="2" t="inlineStr">
        <is>
          <t>ABRIL</t>
        </is>
      </c>
      <c r="B5" s="12" t="inlineStr">
        <is>
          <t>R$ 7.004,38</t>
        </is>
      </c>
      <c r="C5" s="2" t="inlineStr">
        <is>
          <t>ABRIL</t>
        </is>
      </c>
      <c r="D5" s="7" t="n"/>
      <c r="E5" s="2" t="inlineStr">
        <is>
          <t>ABRIL</t>
        </is>
      </c>
      <c r="F5" s="25" t="n"/>
      <c r="H5" s="8" t="n">
        <v>46083</v>
      </c>
      <c r="I5" s="16" t="n">
        <v>644.24</v>
      </c>
      <c r="J5" s="15" t="inlineStr">
        <is>
          <t>ALLIANZ</t>
        </is>
      </c>
      <c r="K5" s="25" t="n"/>
    </row>
    <row r="6" ht="22.5" customHeight="1" s="32">
      <c r="A6" s="2" t="inlineStr">
        <is>
          <t>MAIO</t>
        </is>
      </c>
      <c r="B6" s="12" t="inlineStr">
        <is>
          <t>R$ 7.367,28</t>
        </is>
      </c>
      <c r="C6" s="2" t="inlineStr">
        <is>
          <t>MAIO</t>
        </is>
      </c>
      <c r="D6" s="7" t="n"/>
      <c r="E6" s="2" t="inlineStr">
        <is>
          <t>MAIO</t>
        </is>
      </c>
      <c r="F6" s="25" t="n"/>
      <c r="H6" s="8" t="n">
        <v>46084</v>
      </c>
      <c r="I6" s="16" t="n">
        <v>236.38</v>
      </c>
      <c r="J6" s="15" t="inlineStr">
        <is>
          <t>TOKIO</t>
        </is>
      </c>
      <c r="K6" s="25" t="n"/>
    </row>
    <row r="7" ht="22.5" customHeight="1" s="32">
      <c r="A7" s="2" t="inlineStr">
        <is>
          <t>JUNHO</t>
        </is>
      </c>
      <c r="B7" s="12" t="inlineStr">
        <is>
          <t>R$ 10.948,16</t>
        </is>
      </c>
      <c r="C7" s="2" t="inlineStr">
        <is>
          <t>JUNHO</t>
        </is>
      </c>
      <c r="D7" s="7" t="n"/>
      <c r="E7" s="2" t="inlineStr">
        <is>
          <t>JUNHO</t>
        </is>
      </c>
      <c r="F7" s="25" t="n"/>
      <c r="H7" s="8" t="n">
        <v>46084</v>
      </c>
      <c r="I7" s="16" t="n">
        <v>118.15</v>
      </c>
      <c r="J7" s="15" t="inlineStr">
        <is>
          <t>HDI</t>
        </is>
      </c>
      <c r="K7" s="25" t="n"/>
    </row>
    <row r="8" ht="22.5" customHeight="1" s="32">
      <c r="A8" s="2" t="inlineStr">
        <is>
          <t>JULHO</t>
        </is>
      </c>
      <c r="B8" s="12" t="inlineStr">
        <is>
          <t>R$ 11.235,09</t>
        </is>
      </c>
      <c r="C8" s="2" t="inlineStr">
        <is>
          <t>JULHO</t>
        </is>
      </c>
      <c r="D8" s="7" t="n"/>
      <c r="E8" s="2" t="inlineStr">
        <is>
          <t>JULHO</t>
        </is>
      </c>
      <c r="F8" s="25" t="n"/>
      <c r="H8" s="8" t="n">
        <v>46086</v>
      </c>
      <c r="I8" s="16" t="n">
        <v>496.69</v>
      </c>
      <c r="J8" s="15" t="inlineStr">
        <is>
          <t>YELUM/ALIRO</t>
        </is>
      </c>
      <c r="K8" s="25" t="n"/>
    </row>
    <row r="9" ht="22.5" customHeight="1" s="32">
      <c r="A9" s="2" t="inlineStr">
        <is>
          <t>AGOSTO</t>
        </is>
      </c>
      <c r="B9" s="12" t="inlineStr">
        <is>
          <t>R$ 10.840,41</t>
        </is>
      </c>
      <c r="C9" s="2" t="inlineStr">
        <is>
          <t>AGOSTO</t>
        </is>
      </c>
      <c r="D9" s="7" t="n"/>
      <c r="E9" s="2" t="inlineStr">
        <is>
          <t>AGOSTO</t>
        </is>
      </c>
      <c r="F9" s="25" t="n"/>
      <c r="H9" s="8" t="n">
        <v>46086</v>
      </c>
      <c r="I9" s="16" t="n">
        <v>117.03</v>
      </c>
      <c r="J9" s="15" t="inlineStr">
        <is>
          <t>BRADESCO</t>
        </is>
      </c>
      <c r="K9" s="25" t="n"/>
    </row>
    <row r="10" ht="22.5" customHeight="1" s="32">
      <c r="A10" s="2" t="inlineStr">
        <is>
          <t>SETEMBRO</t>
        </is>
      </c>
      <c r="B10" s="12" t="inlineStr">
        <is>
          <t>R$ 12.803,36</t>
        </is>
      </c>
      <c r="C10" s="2" t="inlineStr">
        <is>
          <t>SETEMBRO</t>
        </is>
      </c>
      <c r="D10" s="7" t="n"/>
      <c r="E10" s="2" t="inlineStr">
        <is>
          <t>SETEMBRO</t>
        </is>
      </c>
      <c r="F10" s="25" t="n"/>
      <c r="H10" s="8" t="n">
        <v>46148</v>
      </c>
      <c r="I10" s="16" t="n">
        <v>27.85</v>
      </c>
      <c r="J10" s="15" t="inlineStr">
        <is>
          <t>AZUL</t>
        </is>
      </c>
      <c r="K10" s="25" t="n"/>
    </row>
    <row r="11" ht="22.5" customHeight="1" s="32">
      <c r="A11" s="2" t="inlineStr">
        <is>
          <t>OUTUBRO</t>
        </is>
      </c>
      <c r="B11" s="12" t="inlineStr">
        <is>
          <t>R$ 9.330,03</t>
        </is>
      </c>
      <c r="C11" s="2" t="inlineStr">
        <is>
          <t>OUTUBRO</t>
        </is>
      </c>
      <c r="D11" s="7" t="n"/>
      <c r="E11" s="2" t="inlineStr">
        <is>
          <t>OUTUBRO</t>
        </is>
      </c>
      <c r="F11" s="25" t="n"/>
      <c r="H11" s="8" t="n">
        <v>46148</v>
      </c>
      <c r="I11" s="16" t="n">
        <v>476.73</v>
      </c>
      <c r="J11" s="15" t="inlineStr">
        <is>
          <t>YELUM/ALIRO</t>
        </is>
      </c>
      <c r="K11" s="25" t="n"/>
    </row>
    <row r="12" ht="22.5" customHeight="1" s="32">
      <c r="A12" s="2" t="inlineStr">
        <is>
          <t>NOVEMBRO</t>
        </is>
      </c>
      <c r="B12" s="12" t="inlineStr">
        <is>
          <t>R$ 10.179,98</t>
        </is>
      </c>
      <c r="C12" s="2" t="inlineStr">
        <is>
          <t>NOVEMBRO</t>
        </is>
      </c>
      <c r="D12" s="7" t="n"/>
      <c r="E12" s="2" t="inlineStr">
        <is>
          <t>NOVEMBRO</t>
        </is>
      </c>
      <c r="F12" s="25" t="n"/>
      <c r="H12" s="8" t="n">
        <v>46148</v>
      </c>
      <c r="I12" s="16" t="n">
        <v>381.3</v>
      </c>
      <c r="J12" s="15" t="inlineStr">
        <is>
          <t>ALLIANZ</t>
        </is>
      </c>
      <c r="K12" s="25" t="n"/>
    </row>
    <row r="13" ht="22.5" customHeight="1" s="32">
      <c r="A13" s="2" t="inlineStr">
        <is>
          <t>DEZEMBRO</t>
        </is>
      </c>
      <c r="B13" s="12" t="inlineStr">
        <is>
          <t>R$ 8.013,08</t>
        </is>
      </c>
      <c r="C13" s="2" t="inlineStr">
        <is>
          <t>DEZEMBRO</t>
        </is>
      </c>
      <c r="D13" s="7" t="n"/>
      <c r="E13" s="2" t="inlineStr">
        <is>
          <t>DEZEMBRO</t>
        </is>
      </c>
      <c r="F13" s="25" t="n"/>
      <c r="H13" s="8" t="n">
        <v>46148</v>
      </c>
      <c r="I13" s="16" t="n">
        <v>150.6</v>
      </c>
      <c r="J13" s="15" t="inlineStr">
        <is>
          <t>MAPFRE</t>
        </is>
      </c>
      <c r="K13" s="25" t="n"/>
    </row>
    <row r="14" ht="22.5" customHeight="1" s="32">
      <c r="A14" s="25" t="n"/>
      <c r="B14" s="12" t="n"/>
      <c r="C14" s="25" t="n"/>
      <c r="D14" s="7" t="n"/>
      <c r="E14" s="25" t="n"/>
      <c r="F14" s="25" t="n"/>
      <c r="H14" s="8" t="n">
        <v>46090</v>
      </c>
      <c r="I14" s="16" t="n">
        <v>512.71</v>
      </c>
      <c r="J14" s="15" t="inlineStr">
        <is>
          <t>ALLIANZ</t>
        </is>
      </c>
      <c r="K14" s="25" t="n"/>
    </row>
    <row r="15" ht="22.5" customHeight="1" s="32">
      <c r="A15" s="25" t="n"/>
      <c r="B15" s="12" t="n"/>
      <c r="C15" s="25" t="n"/>
      <c r="D15" s="7" t="n"/>
      <c r="E15" s="25" t="n"/>
      <c r="F15" s="25" t="n"/>
      <c r="H15" s="8" t="n">
        <v>46091</v>
      </c>
      <c r="I15" s="16" t="n">
        <v>1345.16</v>
      </c>
      <c r="J15" s="15" t="inlineStr">
        <is>
          <t>PORTO/ITAÚ/MITSUI</t>
        </is>
      </c>
      <c r="K15" s="25" t="n"/>
    </row>
    <row r="16" ht="22.5" customHeight="1" s="32">
      <c r="A16" s="13" t="n"/>
      <c r="B16" s="13" t="n"/>
      <c r="C16" s="13" t="n"/>
      <c r="D16" s="14" t="n"/>
      <c r="E16" s="13" t="n"/>
      <c r="F16" s="13" t="n"/>
      <c r="H16" s="8" t="n">
        <v>46091</v>
      </c>
      <c r="I16" s="16" t="n">
        <v>114.71</v>
      </c>
      <c r="J16" s="15" t="inlineStr">
        <is>
          <t>TOKIO</t>
        </is>
      </c>
      <c r="K16" s="25" t="n"/>
    </row>
    <row r="17" ht="22.5" customHeight="1" s="32">
      <c r="A17" s="15" t="n"/>
      <c r="B17" s="15" t="n"/>
      <c r="C17" s="15" t="n"/>
      <c r="D17" s="16" t="n"/>
      <c r="E17" s="15" t="n"/>
      <c r="F17" s="15" t="n"/>
      <c r="H17" s="8" t="n">
        <v>46091</v>
      </c>
      <c r="I17" s="16" t="n">
        <v>117.86</v>
      </c>
      <c r="J17" s="15" t="inlineStr">
        <is>
          <t>YELUM/ALIRO</t>
        </is>
      </c>
      <c r="K17" s="25" t="n"/>
    </row>
    <row r="18" ht="22.5" customHeight="1" s="32">
      <c r="A18" s="15" t="n"/>
      <c r="B18" s="15" t="n"/>
      <c r="C18" s="15" t="n"/>
      <c r="D18" s="16" t="n"/>
      <c r="E18" s="15" t="n"/>
      <c r="F18" s="15" t="n"/>
      <c r="H18" s="8" t="n">
        <v>46091</v>
      </c>
      <c r="I18" s="16" t="n">
        <v>574.1799999999999</v>
      </c>
      <c r="J18" s="15" t="inlineStr">
        <is>
          <t>MAPFRE</t>
        </is>
      </c>
      <c r="K18" s="25" t="n"/>
    </row>
    <row r="19" ht="22.5" customHeight="1" s="32">
      <c r="A19" s="15" t="n"/>
      <c r="B19" s="15" t="n"/>
      <c r="C19" s="15" t="n"/>
      <c r="D19" s="16" t="n"/>
      <c r="E19" s="15" t="n"/>
      <c r="F19" s="15" t="n"/>
      <c r="H19" s="8" t="n">
        <v>46091</v>
      </c>
      <c r="I19" s="16" t="n">
        <v>50.93</v>
      </c>
      <c r="J19" s="15" t="inlineStr">
        <is>
          <t>SUHAI</t>
        </is>
      </c>
      <c r="K19" s="25" t="n"/>
    </row>
    <row r="20" ht="22.5" customHeight="1" s="32">
      <c r="A20" s="15" t="n"/>
      <c r="B20" s="15" t="n"/>
      <c r="C20" s="15" t="n"/>
      <c r="D20" s="16" t="n"/>
      <c r="E20" s="15" t="n"/>
      <c r="F20" s="15" t="n"/>
      <c r="H20" s="8" t="n">
        <v>46092</v>
      </c>
      <c r="I20" s="16" t="n">
        <v>15.06</v>
      </c>
      <c r="J20" s="15" t="inlineStr">
        <is>
          <t>JUSTOS</t>
        </is>
      </c>
      <c r="K20" s="25" t="n"/>
    </row>
    <row r="21" ht="22.5" customHeight="1" s="32">
      <c r="A21" s="15" t="n"/>
      <c r="B21" s="15" t="n"/>
      <c r="C21" s="15" t="n"/>
      <c r="D21" s="16" t="n"/>
      <c r="E21" s="15" t="n"/>
      <c r="F21" s="15" t="n"/>
      <c r="H21" s="8" t="n">
        <v>46092</v>
      </c>
      <c r="I21" s="16" t="n">
        <v>1154.12</v>
      </c>
      <c r="J21" s="15" t="inlineStr">
        <is>
          <t>YELUM/ALIRO</t>
        </is>
      </c>
      <c r="K21" s="25" t="n"/>
    </row>
    <row r="22" ht="22.5" customHeight="1" s="32">
      <c r="A22" s="15" t="n"/>
      <c r="B22" s="15" t="n"/>
      <c r="C22" s="15" t="n"/>
      <c r="D22" s="16" t="n"/>
      <c r="E22" s="15" t="n"/>
      <c r="F22" s="15" t="n"/>
      <c r="H22" s="8" t="n">
        <v>46092</v>
      </c>
      <c r="I22" s="16" t="n">
        <v>168.15</v>
      </c>
      <c r="J22" s="15" t="inlineStr">
        <is>
          <t>MAPFRE</t>
        </is>
      </c>
      <c r="K22" s="25" t="n"/>
    </row>
    <row r="23" ht="22.5" customHeight="1" s="32">
      <c r="A23" s="15" t="n"/>
      <c r="B23" s="15" t="n"/>
      <c r="C23" s="15" t="n"/>
      <c r="D23" s="16" t="n"/>
      <c r="E23" s="15" t="n"/>
      <c r="F23" s="15" t="n"/>
      <c r="H23" s="8" t="n">
        <v>46092</v>
      </c>
      <c r="I23" s="16" t="n">
        <v>96.72</v>
      </c>
      <c r="J23" s="15" t="inlineStr">
        <is>
          <t>ALLIANZ</t>
        </is>
      </c>
      <c r="K23" s="25" t="n"/>
    </row>
    <row r="24" ht="22.5" customHeight="1" s="32">
      <c r="A24" s="15" t="n"/>
      <c r="B24" s="15" t="n"/>
      <c r="C24" s="15" t="n"/>
      <c r="D24" s="16" t="n"/>
      <c r="E24" s="15" t="n"/>
      <c r="F24" s="15" t="n"/>
      <c r="H24" s="8" t="n">
        <v>46093</v>
      </c>
      <c r="I24" s="16" t="n">
        <v>180.08</v>
      </c>
      <c r="J24" s="15" t="inlineStr">
        <is>
          <t>YELUM/ALIRO</t>
        </is>
      </c>
      <c r="K24" s="25" t="n"/>
    </row>
    <row r="25" ht="22.5" customHeight="1" s="32">
      <c r="A25" s="15" t="n"/>
      <c r="B25" s="15" t="n"/>
      <c r="C25" s="15" t="n"/>
      <c r="D25" s="16" t="n"/>
      <c r="E25" s="15" t="n"/>
      <c r="F25" s="15" t="n"/>
      <c r="H25" s="8" t="n">
        <v>46093</v>
      </c>
      <c r="I25" s="16" t="n">
        <v>347.08</v>
      </c>
      <c r="J25" s="15" t="inlineStr">
        <is>
          <t>BRADESCO</t>
        </is>
      </c>
      <c r="K25" s="25" t="n"/>
    </row>
    <row r="26" ht="22.5" customHeight="1" s="32">
      <c r="A26" s="15" t="n"/>
      <c r="B26" s="15" t="n"/>
      <c r="C26" s="15" t="n"/>
      <c r="D26" s="16" t="n"/>
      <c r="E26" s="15" t="n"/>
      <c r="F26" s="15" t="n"/>
      <c r="H26" s="8" t="n">
        <v>46093</v>
      </c>
      <c r="I26" s="16" t="n">
        <v>99.23</v>
      </c>
      <c r="J26" s="15" t="inlineStr">
        <is>
          <t>SUHAI</t>
        </is>
      </c>
      <c r="K26" s="25" t="n"/>
    </row>
    <row r="27" ht="22.5" customHeight="1" s="32">
      <c r="A27" s="15" t="n"/>
      <c r="B27" s="15" t="n"/>
      <c r="C27" s="15" t="n"/>
      <c r="D27" s="16" t="n"/>
      <c r="E27" s="15" t="n"/>
      <c r="F27" s="15" t="n"/>
      <c r="H27" s="8" t="n">
        <v>46094</v>
      </c>
      <c r="I27" s="16" t="n">
        <v>150.33</v>
      </c>
      <c r="J27" s="15" t="inlineStr">
        <is>
          <t>YELUM/ALIRO</t>
        </is>
      </c>
      <c r="K27" s="25" t="n"/>
    </row>
    <row r="28" ht="22.5" customHeight="1" s="32">
      <c r="A28" s="15" t="n"/>
      <c r="B28" s="15" t="n"/>
      <c r="C28" s="15" t="n"/>
      <c r="D28" s="16" t="n"/>
      <c r="E28" s="15" t="n"/>
      <c r="F28" s="15" t="n"/>
      <c r="H28" s="8" t="n">
        <v>46097</v>
      </c>
      <c r="I28" s="16" t="n">
        <v>73.02</v>
      </c>
      <c r="J28" s="15" t="inlineStr">
        <is>
          <t>PORTO/ITAÚ/MITSUI</t>
        </is>
      </c>
      <c r="K28" s="25" t="n"/>
    </row>
    <row r="29" ht="22.5" customHeight="1" s="32">
      <c r="A29" s="15" t="n"/>
      <c r="B29" s="15" t="n"/>
      <c r="C29" s="15" t="n"/>
      <c r="D29" s="16" t="n"/>
      <c r="E29" s="15" t="n"/>
      <c r="F29" s="15" t="n"/>
      <c r="H29" s="8" t="n">
        <v>46097</v>
      </c>
      <c r="I29" s="16" t="n">
        <v>236.88</v>
      </c>
      <c r="J29" s="15" t="inlineStr">
        <is>
          <t>MAPFRE</t>
        </is>
      </c>
      <c r="K29" s="25" t="n"/>
    </row>
    <row r="30" ht="22.5" customHeight="1" s="32">
      <c r="A30" s="15" t="n"/>
      <c r="B30" s="15" t="n"/>
      <c r="C30" s="15" t="n"/>
      <c r="D30" s="16" t="n"/>
      <c r="E30" s="15" t="n"/>
      <c r="F30" s="15" t="n"/>
      <c r="H30" s="8" t="n">
        <v>46098</v>
      </c>
      <c r="I30" s="16" t="n">
        <v>581.27</v>
      </c>
      <c r="J30" s="15" t="inlineStr">
        <is>
          <t>PORTO/ITAÚ/MITSUI</t>
        </is>
      </c>
      <c r="K30" s="25" t="n"/>
    </row>
    <row r="31" ht="22.5" customHeight="1" s="32">
      <c r="A31" s="15" t="n"/>
      <c r="B31" s="15" t="n"/>
      <c r="C31" s="15" t="n"/>
      <c r="D31" s="16" t="n"/>
      <c r="E31" s="15" t="n"/>
      <c r="F31" s="15" t="n"/>
      <c r="H31" s="8" t="n">
        <v>46098</v>
      </c>
      <c r="I31" s="16" t="n">
        <v>116.05</v>
      </c>
      <c r="J31" s="15" t="inlineStr">
        <is>
          <t>TOKIO</t>
        </is>
      </c>
      <c r="K31" s="25" t="n"/>
    </row>
    <row r="32" ht="22.5" customHeight="1" s="32">
      <c r="A32" s="15" t="n"/>
      <c r="B32" s="15" t="n"/>
      <c r="C32" s="15" t="n"/>
      <c r="D32" s="16" t="n"/>
      <c r="E32" s="15" t="n"/>
      <c r="F32" s="15" t="n"/>
      <c r="H32" s="8" t="n">
        <v>46098</v>
      </c>
      <c r="I32" s="16" t="n">
        <v>229.9</v>
      </c>
      <c r="J32" s="15" t="inlineStr">
        <is>
          <t>MAPFRE</t>
        </is>
      </c>
      <c r="K32" s="25" t="n"/>
    </row>
    <row r="33" ht="22.5" customHeight="1" s="32">
      <c r="A33" s="15" t="n"/>
      <c r="B33" s="15" t="n"/>
      <c r="C33" s="15" t="n"/>
      <c r="D33" s="16" t="n"/>
      <c r="E33" s="15" t="n"/>
      <c r="F33" s="15" t="n"/>
      <c r="H33" s="8" t="n">
        <v>46098</v>
      </c>
      <c r="I33" s="16" t="n">
        <v>111.98</v>
      </c>
      <c r="J33" s="15" t="inlineStr">
        <is>
          <t>SUHAI</t>
        </is>
      </c>
      <c r="K33" s="25" t="n"/>
    </row>
    <row r="34" ht="22.5" customHeight="1" s="32">
      <c r="A34" s="15" t="n"/>
      <c r="B34" s="15" t="n"/>
      <c r="C34" s="15" t="n"/>
      <c r="D34" s="16" t="n"/>
      <c r="E34" s="15" t="n"/>
      <c r="F34" s="15" t="n"/>
      <c r="H34" s="8" t="n">
        <v>46099</v>
      </c>
      <c r="I34" s="16" t="n">
        <v>463.11</v>
      </c>
      <c r="J34" s="15" t="inlineStr">
        <is>
          <t>PORTO/ITAÚ/MITSUI</t>
        </is>
      </c>
      <c r="K34" s="25" t="n"/>
    </row>
    <row r="35" ht="22.5" customHeight="1" s="32">
      <c r="A35" s="15" t="n"/>
      <c r="B35" s="15" t="n"/>
      <c r="C35" s="15" t="n"/>
      <c r="D35" s="16" t="n"/>
      <c r="E35" s="15" t="n"/>
      <c r="F35" s="15" t="n"/>
      <c r="H35" s="8" t="n">
        <v>46099</v>
      </c>
      <c r="I35" s="16" t="n">
        <v>222.18</v>
      </c>
      <c r="J35" s="15" t="inlineStr">
        <is>
          <t>YELUM/ALIRO</t>
        </is>
      </c>
      <c r="K35" s="25" t="n"/>
    </row>
    <row r="36" ht="22.5" customHeight="1" s="32">
      <c r="A36" s="15" t="n"/>
      <c r="B36" s="15" t="n"/>
      <c r="C36" s="15" t="n"/>
      <c r="D36" s="16" t="n"/>
      <c r="E36" s="15" t="n"/>
      <c r="F36" s="15" t="n"/>
      <c r="H36" s="8" t="n">
        <v>46104</v>
      </c>
      <c r="I36" s="16" t="n">
        <v>117.79</v>
      </c>
      <c r="J36" s="15" t="inlineStr">
        <is>
          <t>PORTO/ITAÚ/MITSUI</t>
        </is>
      </c>
      <c r="K36" s="25" t="n"/>
    </row>
    <row r="37" ht="22.5" customHeight="1" s="32">
      <c r="A37" s="15" t="n"/>
      <c r="B37" s="15" t="n"/>
      <c r="C37" s="15" t="n"/>
      <c r="D37" s="16" t="n"/>
      <c r="E37" s="15" t="n"/>
      <c r="F37" s="15" t="n"/>
      <c r="H37" s="8" t="n">
        <v>46104</v>
      </c>
      <c r="I37" s="16" t="n">
        <v>195.71</v>
      </c>
      <c r="J37" s="15" t="inlineStr">
        <is>
          <t>YELUM/ALIRO</t>
        </is>
      </c>
      <c r="K37" s="25" t="n"/>
    </row>
    <row r="38" ht="22.5" customHeight="1" s="32">
      <c r="A38" s="15" t="n"/>
      <c r="B38" s="15" t="n"/>
      <c r="C38" s="15" t="n"/>
      <c r="D38" s="16" t="n"/>
      <c r="E38" s="15" t="n"/>
      <c r="F38" s="15" t="n"/>
      <c r="H38" s="8" t="n">
        <v>46104</v>
      </c>
      <c r="I38" s="16" t="n">
        <v>236.1</v>
      </c>
      <c r="J38" s="15" t="inlineStr">
        <is>
          <t>MAPFRE</t>
        </is>
      </c>
      <c r="K38" s="25" t="n"/>
    </row>
    <row r="39" ht="22.5" customHeight="1" s="32">
      <c r="A39" s="15" t="n"/>
      <c r="B39" s="15" t="n"/>
      <c r="C39" s="15" t="n"/>
      <c r="D39" s="16" t="n"/>
      <c r="E39" s="15" t="n"/>
      <c r="F39" s="15" t="n"/>
      <c r="H39" s="8" t="n">
        <v>46105</v>
      </c>
      <c r="I39" s="16" t="n">
        <v>27.85</v>
      </c>
      <c r="J39" s="15" t="inlineStr">
        <is>
          <t>AZUL</t>
        </is>
      </c>
      <c r="K39" s="25" t="n"/>
    </row>
    <row r="40" ht="22.5" customHeight="1" s="32">
      <c r="A40" s="15" t="n"/>
      <c r="B40" s="15" t="n"/>
      <c r="C40" s="15" t="n"/>
      <c r="D40" s="16" t="n"/>
      <c r="E40" s="15" t="n"/>
      <c r="F40" s="15" t="n"/>
      <c r="H40" s="8" t="n">
        <v>46106</v>
      </c>
      <c r="I40" s="16" t="n">
        <v>342.99</v>
      </c>
      <c r="J40" s="15" t="inlineStr">
        <is>
          <t>TOKIO</t>
        </is>
      </c>
      <c r="K40" s="25" t="n"/>
    </row>
    <row r="41" ht="22.5" customHeight="1" s="32">
      <c r="A41" s="15" t="n"/>
      <c r="B41" s="15" t="n"/>
      <c r="C41" s="15" t="n"/>
      <c r="D41" s="16" t="n"/>
      <c r="E41" s="15" t="n"/>
      <c r="F41" s="15" t="n"/>
      <c r="H41" s="8" t="n">
        <v>46106</v>
      </c>
      <c r="I41" s="16" t="n">
        <v>341.24</v>
      </c>
      <c r="J41" s="15" t="inlineStr">
        <is>
          <t>YELUM/ALIRO</t>
        </is>
      </c>
      <c r="K41" s="25" t="n"/>
    </row>
    <row r="42" ht="22.5" customHeight="1" s="32">
      <c r="A42" s="15" t="n"/>
      <c r="B42" s="15" t="n"/>
      <c r="C42" s="15" t="n"/>
      <c r="D42" s="16" t="n"/>
      <c r="E42" s="15" t="n"/>
      <c r="F42" s="15" t="n"/>
      <c r="H42" s="8" t="n">
        <v>46106</v>
      </c>
      <c r="I42" s="16" t="n">
        <v>222.35</v>
      </c>
      <c r="J42" s="15" t="inlineStr">
        <is>
          <t>MAPFRE</t>
        </is>
      </c>
      <c r="K42" s="25" t="n"/>
    </row>
    <row r="43" ht="22.5" customHeight="1" s="32">
      <c r="A43" s="15" t="n"/>
      <c r="B43" s="15" t="n"/>
      <c r="C43" s="15" t="n"/>
      <c r="D43" s="16" t="n"/>
      <c r="E43" s="15" t="n"/>
      <c r="F43" s="15" t="n"/>
      <c r="H43" s="8" t="n">
        <v>46107</v>
      </c>
      <c r="I43" s="16" t="n">
        <v>10.29</v>
      </c>
      <c r="J43" s="15" t="inlineStr">
        <is>
          <t>AZUL</t>
        </is>
      </c>
      <c r="K43" s="25" t="n"/>
    </row>
    <row r="44" ht="22.5" customHeight="1" s="32">
      <c r="A44" s="15" t="n"/>
      <c r="B44" s="15" t="n"/>
      <c r="C44" s="15" t="n"/>
      <c r="D44" s="16" t="n"/>
      <c r="E44" s="15" t="n"/>
      <c r="F44" s="15" t="n"/>
      <c r="H44" s="8" t="n">
        <v>46107</v>
      </c>
      <c r="I44" s="16" t="n">
        <v>86.77</v>
      </c>
      <c r="J44" s="15" t="inlineStr">
        <is>
          <t>PORTO/ITAÚ/MITSUI</t>
        </is>
      </c>
      <c r="K44" s="25" t="n"/>
    </row>
    <row r="45" ht="22.5" customHeight="1" s="32">
      <c r="A45" s="15" t="n"/>
      <c r="B45" s="15" t="n"/>
      <c r="C45" s="15" t="n"/>
      <c r="D45" s="16" t="n"/>
      <c r="E45" s="15" t="n"/>
      <c r="F45" s="15" t="n"/>
      <c r="H45" s="8" t="n">
        <v>46107</v>
      </c>
      <c r="I45" s="16" t="n">
        <v>208.99</v>
      </c>
      <c r="J45" s="15" t="inlineStr">
        <is>
          <t>BRADESCO</t>
        </is>
      </c>
      <c r="K45" s="25" t="n"/>
    </row>
    <row r="46" ht="22.5" customHeight="1" s="32">
      <c r="A46" s="15" t="n"/>
      <c r="B46" s="15" t="n"/>
      <c r="C46" s="15" t="n"/>
      <c r="D46" s="16" t="n"/>
      <c r="E46" s="15" t="n"/>
      <c r="F46" s="15" t="n"/>
      <c r="H46" s="8" t="n">
        <v>46107</v>
      </c>
      <c r="I46" s="16" t="n">
        <v>532.9400000000001</v>
      </c>
      <c r="J46" s="15" t="inlineStr">
        <is>
          <t>ALLIANZ</t>
        </is>
      </c>
      <c r="K46" s="25" t="n"/>
    </row>
    <row r="47" ht="22.5" customHeight="1" s="32">
      <c r="A47" s="15" t="n"/>
      <c r="B47" s="15" t="n"/>
      <c r="C47" s="15" t="n"/>
      <c r="D47" s="16" t="n"/>
      <c r="E47" s="15" t="n"/>
      <c r="F47" s="15" t="n"/>
      <c r="H47" s="8" t="n">
        <v>46108</v>
      </c>
      <c r="I47" s="16" t="n">
        <v>59.96</v>
      </c>
      <c r="J47" s="15" t="inlineStr">
        <is>
          <t>ALLIANZ</t>
        </is>
      </c>
      <c r="K47" s="25" t="n"/>
    </row>
    <row r="48" ht="22.5" customHeight="1" s="32">
      <c r="A48" s="15" t="n"/>
      <c r="B48" s="15" t="n"/>
      <c r="C48" s="15" t="n"/>
      <c r="D48" s="16" t="n"/>
      <c r="E48" s="15" t="n"/>
      <c r="F48" s="15" t="n"/>
      <c r="H48" s="8" t="n">
        <v>46108</v>
      </c>
      <c r="I48" s="16" t="n">
        <v>1245.9</v>
      </c>
      <c r="J48" s="15" t="inlineStr">
        <is>
          <t>Porto Seguro
Data</t>
        </is>
      </c>
      <c r="K48" s="25" t="inlineStr">
        <is>
          <t>Fluxo de caixa R$ 1.245,90 - Seguradora: Porto Seguro</t>
        </is>
      </c>
    </row>
    <row r="49" ht="22.5" customHeight="1" s="32">
      <c r="A49" s="15" t="n"/>
      <c r="B49" s="15" t="n"/>
      <c r="C49" s="15" t="n"/>
      <c r="D49" s="16" t="n"/>
      <c r="E49" s="15" t="n"/>
      <c r="F49" s="15" t="n"/>
      <c r="H49" s="8" t="n"/>
      <c r="I49" s="16" t="n"/>
      <c r="J49" s="25" t="n"/>
      <c r="K49" s="25" t="n"/>
    </row>
  </sheetData>
  <conditionalFormatting sqref="A16:F49">
    <cfRule type="notContainsBlanks" priority="1" dxfId="5">
      <formula>LEN(TRIM(A16))&gt;0</formula>
    </cfRule>
  </conditionalFormatting>
  <dataValidations count="3">
    <dataValidation sqref="J4:J49" showDropDown="0" showInputMessage="0" showErrorMessage="0" allowBlank="1" type="list">
      <formula1>"PORTO/ITAÚ/MITSUI,AZUL,YELUM/ALIRO,HDI,ALLIANZ,MAPFRE,BRADESCO,TOKIO,SUHAI,ZURICH,JUSTOS,SUL AMERICA,CAPEMISA,BP SEGUROS"</formula1>
    </dataValidation>
    <dataValidation sqref="K4:K49" showDropDown="0" showInputMessage="0" showErrorMessage="0" allowBlank="1" type="list">
      <formula1>"PGTO,BÔNUS"</formula1>
    </dataValidation>
    <dataValidation sqref="D2:D49 I4:I49" showDropDown="1" showInputMessage="0" showErrorMessage="0" allowBlank="1" type="custom">
      <formula1>AND(ISNUMBER(D2),(NOT(OR(NOT(ISERROR(DATEVALUE(D2))), AND(ISNUMBER(D2), LEFT(CELL("format", D2))="D")))))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.71" customWidth="1" style="32" min="1" max="1"/>
    <col width="19" customWidth="1" style="32" min="2" max="2"/>
    <col width="24.29" customWidth="1" style="32" min="3" max="3"/>
    <col width="16.86" customWidth="1" style="32" min="4" max="4"/>
    <col width="8.710000000000001" customWidth="1" style="32" min="5" max="26"/>
  </cols>
  <sheetData>
    <row r="1" ht="22.5" customHeight="1" s="32">
      <c r="A1" s="17" t="inlineStr">
        <is>
          <t>Data</t>
        </is>
      </c>
      <c r="B1" s="17" t="inlineStr">
        <is>
          <t>Descrição</t>
        </is>
      </c>
      <c r="C1" s="17" t="inlineStr">
        <is>
          <t>Categoria</t>
        </is>
      </c>
      <c r="D1" s="17" t="inlineStr">
        <is>
          <t>Valor (R$)</t>
        </is>
      </c>
    </row>
    <row r="2" ht="22.5" customHeight="1" s="32">
      <c r="A2" s="20" t="n"/>
      <c r="B2" s="24" t="n"/>
      <c r="C2" s="25" t="n"/>
    </row>
    <row r="3" ht="22.5" customHeight="1" s="32">
      <c r="A3" s="20" t="n"/>
      <c r="B3" s="24" t="n"/>
      <c r="C3" s="25" t="n"/>
    </row>
    <row r="4" ht="22.5" customHeight="1" s="32">
      <c r="A4" s="20" t="n"/>
      <c r="B4" s="24" t="n"/>
      <c r="C4" s="25" t="n"/>
    </row>
    <row r="5" ht="22.5" customHeight="1" s="32">
      <c r="A5" s="20" t="n"/>
      <c r="B5" s="24" t="n"/>
      <c r="C5" s="25" t="n"/>
    </row>
    <row r="6" ht="22.5" customHeight="1" s="32">
      <c r="A6" s="20" t="n"/>
      <c r="B6" s="24" t="n"/>
      <c r="C6" s="25" t="n"/>
    </row>
    <row r="7" ht="22.5" customHeight="1" s="32">
      <c r="A7" s="20" t="n"/>
      <c r="B7" s="24" t="n"/>
      <c r="C7" s="25" t="n"/>
    </row>
    <row r="8" ht="22.5" customHeight="1" s="32">
      <c r="A8" s="20" t="n"/>
      <c r="B8" s="24" t="n"/>
      <c r="C8" s="25" t="n"/>
    </row>
    <row r="9" ht="22.5" customHeight="1" s="32">
      <c r="A9" s="20" t="n"/>
      <c r="B9" s="24" t="n"/>
      <c r="C9" s="25" t="n"/>
    </row>
    <row r="10" ht="22.5" customHeight="1" s="32">
      <c r="A10" s="20" t="n"/>
      <c r="B10" s="24" t="n"/>
      <c r="C10" s="25" t="n"/>
    </row>
    <row r="11" ht="22.5" customHeight="1" s="32">
      <c r="A11" s="20" t="n"/>
      <c r="B11" s="24" t="n"/>
      <c r="C11" s="25" t="n"/>
    </row>
    <row r="12" ht="22.5" customHeight="1" s="32">
      <c r="A12" s="20" t="n"/>
      <c r="B12" s="24" t="n"/>
      <c r="C12" s="25" t="n"/>
    </row>
    <row r="13" ht="22.5" customHeight="1" s="32">
      <c r="A13" s="20" t="n"/>
      <c r="B13" s="24" t="n"/>
      <c r="C13" s="25" t="n"/>
    </row>
    <row r="14" ht="22.5" customHeight="1" s="32">
      <c r="A14" s="20" t="n"/>
      <c r="B14" s="24" t="n"/>
      <c r="C14" s="25" t="n"/>
    </row>
    <row r="15" ht="22.5" customHeight="1" s="32">
      <c r="A15" s="20" t="n"/>
      <c r="B15" s="24" t="n"/>
      <c r="C15" s="25" t="n"/>
    </row>
    <row r="16" ht="22.5" customHeight="1" s="32">
      <c r="A16" s="20" t="n"/>
      <c r="B16" s="24" t="n"/>
      <c r="C16" s="25" t="n"/>
    </row>
    <row r="17" ht="22.5" customHeight="1" s="32">
      <c r="A17" s="20" t="n"/>
      <c r="B17" s="24" t="n"/>
      <c r="C17" s="25" t="n"/>
    </row>
    <row r="18" ht="22.5" customHeight="1" s="32">
      <c r="A18" s="20" t="n"/>
      <c r="B18" s="24" t="n"/>
      <c r="C18" s="25" t="n"/>
    </row>
    <row r="19" ht="22.5" customHeight="1" s="32">
      <c r="A19" s="20" t="n"/>
      <c r="B19" s="24" t="n"/>
      <c r="C19" s="25" t="n"/>
    </row>
    <row r="20" ht="15.75" customHeight="1" s="32">
      <c r="A20" s="20" t="n"/>
      <c r="B20" s="24" t="n"/>
      <c r="C20" s="25" t="n"/>
    </row>
    <row r="21" ht="15.75" customHeight="1" s="32">
      <c r="A21" s="20" t="n"/>
      <c r="B21" s="24" t="n"/>
      <c r="C21" s="25" t="n"/>
    </row>
    <row r="22" ht="15.75" customHeight="1" s="32">
      <c r="A22" s="20" t="n"/>
      <c r="B22" s="24" t="n"/>
      <c r="C22" s="25" t="n"/>
    </row>
    <row r="23" ht="15.75" customHeight="1" s="32">
      <c r="A23" s="20" t="n"/>
      <c r="B23" s="24" t="n"/>
      <c r="C23" s="25" t="n"/>
    </row>
    <row r="24" ht="15.75" customHeight="1" s="32">
      <c r="A24" s="20" t="n"/>
      <c r="B24" s="24" t="n"/>
      <c r="C24" s="25" t="n"/>
    </row>
    <row r="25" ht="15.75" customHeight="1" s="32">
      <c r="A25" s="20" t="n"/>
      <c r="B25" s="24" t="n"/>
      <c r="C25" s="25" t="n"/>
    </row>
    <row r="26" ht="15.75" customHeight="1" s="32">
      <c r="A26" s="20" t="n"/>
      <c r="B26" s="24" t="n"/>
      <c r="C26" s="25" t="n"/>
    </row>
    <row r="27" ht="15.75" customHeight="1" s="32">
      <c r="A27" s="20" t="n"/>
      <c r="B27" s="24" t="n"/>
      <c r="C27" s="25" t="n"/>
    </row>
    <row r="28" ht="15.75" customHeight="1" s="32">
      <c r="A28" s="20" t="n"/>
      <c r="B28" s="24" t="n"/>
      <c r="C28" s="25" t="n"/>
    </row>
    <row r="29" ht="15.75" customHeight="1" s="32">
      <c r="A29" s="20" t="n"/>
      <c r="B29" s="24" t="n"/>
      <c r="C29" s="25" t="n"/>
    </row>
    <row r="30" ht="15.75" customHeight="1" s="32">
      <c r="A30" s="20" t="n"/>
      <c r="B30" s="24" t="n"/>
      <c r="C30" s="25" t="n"/>
    </row>
    <row r="31" ht="15.75" customHeight="1" s="32">
      <c r="A31" s="20" t="n"/>
      <c r="B31" s="24" t="n"/>
      <c r="C31" s="25" t="n"/>
    </row>
    <row r="32" ht="15.75" customHeight="1" s="32">
      <c r="A32" s="20" t="n"/>
      <c r="B32" s="24" t="n"/>
      <c r="C32" s="25" t="n"/>
    </row>
    <row r="33" ht="15.75" customHeight="1" s="32">
      <c r="A33" s="20" t="n"/>
      <c r="B33" s="24" t="n"/>
      <c r="C33" s="25" t="n"/>
    </row>
    <row r="34" ht="15.75" customHeight="1" s="32">
      <c r="A34" s="20" t="n"/>
      <c r="B34" s="24" t="n"/>
      <c r="C34" s="25" t="n"/>
    </row>
    <row r="35" ht="15.75" customHeight="1" s="32">
      <c r="A35" s="20" t="n"/>
      <c r="B35" s="24" t="n"/>
      <c r="C35" s="25" t="n"/>
    </row>
    <row r="36" ht="15.75" customHeight="1" s="32">
      <c r="A36" s="20" t="n"/>
      <c r="B36" s="24" t="n"/>
      <c r="C36" s="25" t="n"/>
    </row>
    <row r="37" ht="15.75" customHeight="1" s="32">
      <c r="A37" s="20" t="n"/>
      <c r="B37" s="24" t="n"/>
      <c r="C37" s="25" t="n"/>
    </row>
    <row r="38" ht="15.75" customHeight="1" s="32">
      <c r="A38" s="20" t="n"/>
      <c r="B38" s="24" t="n"/>
      <c r="C38" s="25" t="n"/>
    </row>
    <row r="39" ht="15.75" customHeight="1" s="32">
      <c r="A39" s="20" t="n"/>
      <c r="B39" s="24" t="n"/>
      <c r="C39" s="25" t="n"/>
    </row>
    <row r="40" ht="15.75" customHeight="1" s="32">
      <c r="A40" s="20" t="n"/>
      <c r="B40" s="24" t="n"/>
      <c r="C40" s="25" t="n"/>
    </row>
    <row r="41" ht="15.75" customHeight="1" s="32">
      <c r="A41" s="20" t="n"/>
      <c r="B41" s="24" t="n"/>
      <c r="C41" s="25" t="n"/>
    </row>
    <row r="42" ht="15.75" customHeight="1" s="32">
      <c r="A42" s="20" t="n"/>
      <c r="B42" s="24" t="n"/>
      <c r="C42" s="25" t="n"/>
    </row>
    <row r="43" ht="15.75" customHeight="1" s="32">
      <c r="A43" s="20" t="n"/>
      <c r="B43" s="24" t="n"/>
      <c r="C43" s="25" t="n"/>
    </row>
    <row r="44" ht="15.75" customHeight="1" s="32">
      <c r="A44" s="20" t="n"/>
      <c r="B44" s="24" t="n"/>
      <c r="C44" s="25" t="n"/>
    </row>
    <row r="45" ht="15.75" customHeight="1" s="32">
      <c r="A45" s="20" t="n"/>
      <c r="B45" s="24" t="n"/>
      <c r="C45" s="25" t="n"/>
    </row>
    <row r="46" ht="15.75" customHeight="1" s="32">
      <c r="A46" s="20" t="n"/>
      <c r="B46" s="24" t="n"/>
      <c r="C46" s="25" t="n"/>
    </row>
    <row r="47" ht="15.75" customHeight="1" s="32">
      <c r="A47" s="20" t="n"/>
      <c r="B47" s="24" t="n"/>
      <c r="C47" s="25" t="n"/>
    </row>
    <row r="48" ht="15.75" customHeight="1" s="32">
      <c r="A48" s="20" t="n"/>
      <c r="B48" s="24" t="n"/>
      <c r="C48" s="25" t="n"/>
    </row>
    <row r="49" ht="15.75" customHeight="1" s="32">
      <c r="A49" s="20" t="n"/>
      <c r="B49" s="24" t="n"/>
      <c r="C49" s="25" t="n"/>
    </row>
    <row r="50" ht="15.75" customHeight="1" s="32">
      <c r="A50" s="20" t="n"/>
      <c r="B50" s="24" t="n"/>
      <c r="C50" s="25" t="n"/>
    </row>
    <row r="51" ht="15.75" customHeight="1" s="32">
      <c r="A51" s="20" t="n"/>
      <c r="B51" s="24" t="n"/>
      <c r="C51" s="25" t="n"/>
    </row>
    <row r="52" ht="15.75" customHeight="1" s="32">
      <c r="A52" s="20" t="n"/>
      <c r="B52" s="24" t="n"/>
      <c r="C52" s="25" t="n"/>
    </row>
    <row r="53" ht="15.75" customHeight="1" s="32">
      <c r="A53" s="20" t="n"/>
      <c r="B53" s="24" t="n"/>
      <c r="C53" s="25" t="n"/>
    </row>
    <row r="54" ht="15.75" customHeight="1" s="32">
      <c r="A54" s="25" t="n"/>
      <c r="B54" s="24" t="n"/>
      <c r="C54" s="25" t="n"/>
    </row>
    <row r="55" ht="15.75" customHeight="1" s="32">
      <c r="A55" s="25" t="n"/>
      <c r="B55" s="24" t="n"/>
      <c r="C55" s="25" t="n"/>
    </row>
    <row r="56" ht="15.75" customHeight="1" s="32">
      <c r="A56" s="25" t="n"/>
      <c r="B56" s="24" t="n"/>
      <c r="C56" s="25" t="n"/>
    </row>
    <row r="57" ht="15.75" customHeight="1" s="32">
      <c r="A57" s="25" t="n"/>
      <c r="B57" s="24" t="n"/>
      <c r="C57" s="25" t="n"/>
    </row>
    <row r="58" ht="15.75" customHeight="1" s="32">
      <c r="A58" s="25" t="n"/>
      <c r="B58" s="24" t="n"/>
      <c r="C58" s="25" t="n"/>
    </row>
    <row r="59" ht="15.75" customHeight="1" s="32">
      <c r="A59" s="25" t="n"/>
      <c r="B59" s="24" t="n"/>
      <c r="C59" s="25" t="n"/>
    </row>
    <row r="60" ht="15.75" customHeight="1" s="32">
      <c r="A60" s="25" t="n"/>
      <c r="B60" s="24" t="n"/>
      <c r="C60" s="25" t="n"/>
    </row>
    <row r="61" ht="15.75" customHeight="1" s="32">
      <c r="A61" s="25" t="n"/>
      <c r="B61" s="24" t="n"/>
      <c r="C61" s="25" t="n"/>
    </row>
    <row r="62" ht="15.75" customHeight="1" s="32">
      <c r="A62" s="25" t="n"/>
      <c r="B62" s="24" t="n"/>
      <c r="C62" s="25" t="n"/>
    </row>
    <row r="63" ht="15.75" customHeight="1" s="32">
      <c r="A63" s="25" t="n"/>
      <c r="B63" s="24" t="n"/>
      <c r="C63" s="25" t="n"/>
    </row>
    <row r="64" ht="15.75" customHeight="1" s="32">
      <c r="A64" s="25" t="n"/>
      <c r="B64" s="24" t="n"/>
      <c r="C64" s="25" t="n"/>
    </row>
    <row r="65" ht="15.75" customHeight="1" s="32">
      <c r="A65" s="25" t="n"/>
      <c r="B65" s="24" t="n"/>
      <c r="C65" s="25" t="n"/>
    </row>
    <row r="66" ht="15.75" customHeight="1" s="32">
      <c r="A66" s="25" t="n"/>
      <c r="B66" s="24" t="n"/>
      <c r="C66" s="25" t="n"/>
    </row>
    <row r="67" ht="15.75" customHeight="1" s="32">
      <c r="A67" s="25" t="n"/>
      <c r="B67" s="24" t="n"/>
      <c r="C67" s="25" t="n"/>
    </row>
    <row r="68" ht="15.75" customHeight="1" s="32">
      <c r="A68" s="25" t="n"/>
      <c r="B68" s="24" t="n"/>
      <c r="C68" s="25" t="n"/>
    </row>
    <row r="69" ht="15.75" customHeight="1" s="32">
      <c r="A69" s="25" t="n"/>
      <c r="B69" s="24" t="n"/>
      <c r="C69" s="25" t="n"/>
    </row>
    <row r="70" ht="15.75" customHeight="1" s="32">
      <c r="A70" s="25" t="n"/>
      <c r="B70" s="24" t="n"/>
      <c r="C70" s="25" t="n"/>
    </row>
    <row r="71" ht="15.75" customHeight="1" s="32">
      <c r="A71" s="25" t="n"/>
      <c r="B71" s="24" t="n"/>
      <c r="C71" s="25" t="n"/>
    </row>
    <row r="72" ht="15.75" customHeight="1" s="32">
      <c r="A72" s="25" t="n"/>
      <c r="B72" s="24" t="n"/>
      <c r="C72" s="25" t="n"/>
    </row>
    <row r="73" ht="15.75" customHeight="1" s="32">
      <c r="A73" s="25" t="n"/>
      <c r="B73" s="24" t="n"/>
      <c r="C73" s="25" t="n"/>
    </row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</sheetData>
  <dataValidations count="1">
    <dataValidation sqref="C2:C73" showDropDown="0" showInputMessage="0" showErrorMessage="0" allowBlank="1" type="list">
      <formula1>"LAZER,MERCADO,TRANSPORTE,MORADIA,ANIMAIS,CORRETORA,SAÚDE E BELEZA,VESTUÁRIO,SEGURO,CASA,DIVERSOS,DESPESAS FIXAS PJ,DESPESAS FIXAS PF"</formula1>
    </dataValidation>
  </dataValidation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4.43" defaultRowHeight="15" customHeight="1"/>
  <cols>
    <col width="21.86" customWidth="1" style="32" min="1" max="1"/>
    <col width="25" customWidth="1" style="32" min="2" max="2"/>
    <col width="17.57" customWidth="1" style="32" min="3" max="3"/>
    <col width="8.710000000000001" customWidth="1" style="32" min="4" max="25"/>
  </cols>
  <sheetData>
    <row r="1">
      <c r="A1" s="26" t="inlineStr">
        <is>
          <t>Categoria</t>
        </is>
      </c>
      <c r="B1" s="26" t="inlineStr">
        <is>
          <t>Total (SUMIF - EN)</t>
        </is>
      </c>
      <c r="C1" s="26" t="inlineStr">
        <is>
          <t>Observação</t>
        </is>
      </c>
    </row>
    <row r="2">
      <c r="A2" s="27" t="n"/>
      <c r="B2" s="27" t="n"/>
      <c r="C2" s="27" t="n"/>
    </row>
    <row r="3">
      <c r="A3" s="28" t="inlineStr">
        <is>
          <t>MERCADO</t>
        </is>
      </c>
      <c r="B3" s="30">
        <f>SUMIF('Gastos Mensais'!C:C,A3,'Gastos Mensais'!D:D)</f>
        <v/>
      </c>
      <c r="C3" s="30" t="n"/>
    </row>
    <row r="4">
      <c r="A4" s="28" t="inlineStr">
        <is>
          <t>TRANSPORTE</t>
        </is>
      </c>
      <c r="B4" s="30">
        <f>SUMIF('Gastos Mensais'!C:C,A4,'Gastos Mensais'!D:D)</f>
        <v/>
      </c>
      <c r="C4" s="30" t="n"/>
    </row>
    <row r="5">
      <c r="A5" s="28" t="inlineStr">
        <is>
          <t>LAZER</t>
        </is>
      </c>
      <c r="B5" s="30">
        <f>SUMIF('Gastos Mensais'!C:C,A5,'Gastos Mensais'!D:D)</f>
        <v/>
      </c>
      <c r="C5" s="30" t="n"/>
    </row>
    <row r="6">
      <c r="A6" s="28" t="inlineStr">
        <is>
          <t>MORADIA</t>
        </is>
      </c>
      <c r="B6" s="30">
        <f>SUMIF('Gastos Mensais'!C:C,A6,'Gastos Mensais'!D:D)</f>
        <v/>
      </c>
      <c r="C6" s="30" t="n"/>
    </row>
    <row r="7">
      <c r="A7" s="28" t="inlineStr">
        <is>
          <t>ANIMAIS</t>
        </is>
      </c>
      <c r="B7" s="30">
        <f>SUMIF('Gastos Mensais'!C:C,A7,'Gastos Mensais'!D:D)</f>
        <v/>
      </c>
      <c r="C7" s="30" t="n"/>
    </row>
    <row r="8">
      <c r="A8" s="28" t="inlineStr">
        <is>
          <t>CORRETORA</t>
        </is>
      </c>
      <c r="B8" s="30">
        <f>SUMIF('Gastos Mensais'!C:C,A8,'Gastos Mensais'!D:D)</f>
        <v/>
      </c>
      <c r="C8" s="30" t="n"/>
    </row>
    <row r="9">
      <c r="A9" s="28" t="inlineStr">
        <is>
          <t>SAÚDE E BELEZA</t>
        </is>
      </c>
      <c r="B9" s="30">
        <f>SUMIF('Gastos Mensais'!C:C,A9,'Gastos Mensais'!D:D)</f>
        <v/>
      </c>
      <c r="C9" s="30" t="n"/>
    </row>
    <row r="10">
      <c r="A10" s="28" t="inlineStr">
        <is>
          <t>VESTUÁRIO</t>
        </is>
      </c>
      <c r="B10" s="30">
        <f>SUMIF('Gastos Mensais'!C:C,A10,'Gastos Mensais'!D:D)</f>
        <v/>
      </c>
      <c r="C10" s="30" t="n"/>
    </row>
    <row r="11">
      <c r="A11" s="28" t="inlineStr">
        <is>
          <t>SEGURO</t>
        </is>
      </c>
      <c r="B11" s="30">
        <f>SUMIF('Gastos Mensais'!C:C,A11,'Gastos Mensais'!D:D)</f>
        <v/>
      </c>
      <c r="C11" s="30" t="n"/>
    </row>
    <row r="12">
      <c r="A12" s="28" t="inlineStr">
        <is>
          <t>CASA</t>
        </is>
      </c>
      <c r="B12" s="30">
        <f>SUMIF('Gastos Mensais'!C:C,A12,'Gastos Mensais'!D:D)</f>
        <v/>
      </c>
      <c r="C12" s="30" t="n"/>
    </row>
    <row r="13">
      <c r="A13" s="28" t="inlineStr">
        <is>
          <t>DIVERSOS</t>
        </is>
      </c>
      <c r="B13" s="30">
        <f>SUMIF('Gastos Mensais'!C:C,A13,'Gastos Mensais'!D:D)</f>
        <v/>
      </c>
      <c r="C13" s="30" t="n"/>
    </row>
    <row r="14">
      <c r="A14" s="28" t="inlineStr">
        <is>
          <t>DESPESAS FIXAS PJ</t>
        </is>
      </c>
      <c r="B14" s="30">
        <f>SUMIF('Gastos Mensais'!C:C,A14,'Gastos Mensais'!D:D)</f>
        <v/>
      </c>
      <c r="C14" s="30" t="n"/>
    </row>
    <row r="20" ht="15.75" customHeight="1" s="32"/>
    <row r="21" ht="15.75" customHeight="1" s="32"/>
    <row r="22" ht="15.75" customHeight="1" s="32"/>
    <row r="23" ht="15.75" customHeight="1" s="32"/>
    <row r="24" ht="15.75" customHeight="1" s="32"/>
    <row r="25" ht="15.75" customHeight="1" s="32"/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2" min="1" max="26"/>
  </cols>
  <sheetData>
    <row r="1">
      <c r="A1" s="31" t="inlineStr">
        <is>
          <t>Instruções de uso:</t>
        </is>
      </c>
    </row>
    <row r="3">
      <c r="A3" s="31" t="inlineStr">
        <is>
          <t>1) Se os totais não aparecerem automaticamente, selecione o Excel e pressione F9 para recalcular.</t>
        </is>
      </c>
    </row>
    <row r="4">
      <c r="A4" s="31" t="inlineStr">
        <is>
          <t>2) Verifique se o Excel está em modo de cálculo AUTOMÁTICO: Fórmulas -&gt; Opções de Cálculo -&gt; Automático.</t>
        </is>
      </c>
    </row>
    <row r="5">
      <c r="A5" s="31" t="inlineStr">
        <is>
          <t>3) Se o seu Excel estiver em Português (Brasil), use a coluna 'Total (SOMASE - PT-BR)'.</t>
        </is>
      </c>
    </row>
    <row r="6">
      <c r="A6" s="31" t="inlineStr">
        <is>
          <t xml:space="preserve">   Se estiver em Inglês, use a coluna 'Total (SUMIF - EN)'.</t>
        </is>
      </c>
    </row>
    <row r="7">
      <c r="A7" s="31" t="inlineStr">
        <is>
          <t>4) Se preferir, posso ajustar o arquivo para manter apenas a fórmula compatível com o seu Excel.</t>
        </is>
      </c>
    </row>
    <row r="9">
      <c r="A9" s="31" t="inlineStr">
        <is>
          <t>Observação técnica: as fórmulas foram inseridas, mas o OpenPyXL não avalia fórmulas. O cálculo será feito pelo Excel quando o arquivo for aberto e recalculado.</t>
        </is>
      </c>
    </row>
    <row r="11">
      <c r="A11" s="31" t="inlineStr">
        <is>
          <t>Informe se prefere que eu gere um arquivo com TABELA do Excel (melhor para filtragem) e/ou com validação de categorias.</t>
        </is>
      </c>
    </row>
    <row r="21" ht="15.75" customHeight="1" s="32"/>
    <row r="22" ht="15.75" customHeight="1" s="32"/>
    <row r="23" ht="15.75" customHeight="1" s="32"/>
    <row r="24" ht="15.75" customHeight="1" s="32"/>
    <row r="25" ht="15.75" customHeight="1" s="32"/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2025-08-10T21:23:41Z</dcterms:created>
  <dcterms:modified xmlns:dcterms="http://purl.org/dc/terms/" xmlns:xsi="http://www.w3.org/2001/XMLSchema-instance" xsi:type="dcterms:W3CDTF">2026-03-30T17:07:56Z</dcterms:modified>
</cp:coreProperties>
</file>